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5.xml" ContentType="application/vnd.openxmlformats-officedocument.spreadsheetml.pivot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hidePivotFieldList="1"/>
  <mc:AlternateContent xmlns:mc="http://schemas.openxmlformats.org/markup-compatibility/2006">
    <mc:Choice Requires="x15">
      <x15ac:absPath xmlns:x15ac="http://schemas.microsoft.com/office/spreadsheetml/2010/11/ac" url="C:\Users\hp\Downloads\"/>
    </mc:Choice>
  </mc:AlternateContent>
  <bookViews>
    <workbookView xWindow="0" yWindow="0" windowWidth="19200" windowHeight="7050" activeTab="1"/>
  </bookViews>
  <sheets>
    <sheet name="pivot table" sheetId="5" r:id="rId1"/>
    <sheet name="dashbord" sheetId="6" r:id="rId2"/>
    <sheet name="Sheet1" sheetId="9" r:id="rId3"/>
    <sheet name="Sales Data" sheetId="2" r:id="rId4"/>
  </sheets>
  <definedNames>
    <definedName name="_xlnm._FilterDatabase" localSheetId="3" hidden="1">'Sales Data'!$G$1:$G$41</definedName>
    <definedName name="Slicer_Payment_Mode">#N/A</definedName>
  </definedNames>
  <calcPr calcId="162913"/>
  <pivotCaches>
    <pivotCache cacheId="0" r:id="rId5"/>
  </pivotCaches>
  <extLst>
    <ext xmlns:x14="http://schemas.microsoft.com/office/spreadsheetml/2009/9/main" uri="{BBE1A952-AA13-448e-AADC-164F8A28A991}">
      <x14:slicerCaches>
        <x14:slicerCache r:id="rId6"/>
      </x14:slicerCaches>
    </ext>
    <ext xmlns:x14="http://schemas.microsoft.com/office/spreadsheetml/2009/9/main" uri="{79F54976-1DA5-4618-B147-4CDE4B953A38}">
      <x14:workbookPr/>
    </ext>
  </extLst>
</workbook>
</file>

<file path=xl/calcChain.xml><?xml version="1.0" encoding="utf-8"?>
<calcChain xmlns="http://schemas.openxmlformats.org/spreadsheetml/2006/main">
  <c r="Q4" i="5" l="1"/>
  <c r="P4" i="5"/>
  <c r="O4" i="5"/>
  <c r="N4" i="5"/>
  <c r="P3" i="2"/>
  <c r="P4" i="2"/>
  <c r="P5" i="2"/>
  <c r="P6" i="2"/>
  <c r="P7" i="2"/>
  <c r="P8" i="2"/>
  <c r="P9" i="2"/>
  <c r="P10" i="2"/>
  <c r="P11" i="2"/>
  <c r="P12" i="2"/>
  <c r="P13" i="2"/>
  <c r="P14" i="2"/>
  <c r="P15" i="2"/>
  <c r="P16" i="2"/>
  <c r="P17" i="2"/>
  <c r="P18" i="2"/>
  <c r="P19" i="2"/>
  <c r="P20" i="2"/>
  <c r="P21" i="2"/>
  <c r="P22" i="2"/>
  <c r="P23" i="2"/>
  <c r="P24" i="2"/>
  <c r="P25" i="2"/>
  <c r="P26" i="2"/>
  <c r="P27" i="2"/>
  <c r="P28" i="2"/>
  <c r="P29" i="2"/>
  <c r="P30" i="2"/>
  <c r="P31" i="2"/>
  <c r="P32" i="2"/>
  <c r="P33" i="2"/>
  <c r="P34" i="2"/>
  <c r="P35" i="2"/>
  <c r="P36" i="2"/>
  <c r="P37" i="2"/>
  <c r="P38" i="2"/>
  <c r="P39" i="2"/>
  <c r="P40" i="2"/>
  <c r="P41" i="2"/>
  <c r="P2" i="2"/>
  <c r="R3" i="2"/>
  <c r="R4" i="2"/>
  <c r="R5" i="2"/>
  <c r="R6" i="2"/>
  <c r="R7" i="2"/>
  <c r="R8" i="2"/>
  <c r="R9" i="2"/>
  <c r="R10" i="2"/>
  <c r="R11" i="2"/>
  <c r="R12" i="2"/>
  <c r="R13" i="2"/>
  <c r="R14" i="2"/>
  <c r="R15" i="2"/>
  <c r="R16" i="2"/>
  <c r="R17" i="2"/>
  <c r="R18" i="2"/>
  <c r="R19" i="2"/>
  <c r="R20" i="2"/>
  <c r="R21" i="2"/>
  <c r="R22" i="2"/>
  <c r="R23" i="2"/>
  <c r="R24" i="2"/>
  <c r="R25" i="2"/>
  <c r="R26" i="2"/>
  <c r="R27" i="2"/>
  <c r="R28" i="2"/>
  <c r="R29" i="2"/>
  <c r="R30" i="2"/>
  <c r="R31" i="2"/>
  <c r="R32" i="2"/>
  <c r="R33" i="2"/>
  <c r="R34" i="2"/>
  <c r="R35" i="2"/>
  <c r="R36" i="2"/>
  <c r="R37" i="2"/>
  <c r="R38" i="2"/>
  <c r="R39" i="2"/>
  <c r="R40" i="2"/>
  <c r="R41" i="2"/>
  <c r="R2" i="2"/>
  <c r="Q29" i="2"/>
  <c r="Q17" i="2"/>
  <c r="Q11" i="2"/>
  <c r="Q6" i="2"/>
  <c r="Q23" i="2"/>
  <c r="Q28" i="2"/>
  <c r="Q5" i="2"/>
  <c r="Q18" i="2"/>
  <c r="Q32" i="2"/>
  <c r="Q10" i="2"/>
  <c r="Q7" i="2"/>
  <c r="Q3" i="2"/>
  <c r="Q20" i="2"/>
  <c r="Q26" i="2"/>
  <c r="Q21" i="2"/>
  <c r="Q22" i="2"/>
  <c r="Q15" i="2"/>
  <c r="Q16" i="2"/>
  <c r="Q8" i="2"/>
  <c r="Q31" i="2"/>
  <c r="Q35" i="2"/>
  <c r="Q39" i="2"/>
  <c r="Q37" i="2"/>
  <c r="Q2" i="2"/>
  <c r="Q14" i="2"/>
  <c r="Q9" i="2"/>
  <c r="Q24" i="2"/>
  <c r="Q40" i="2"/>
  <c r="Q13" i="2"/>
  <c r="Q36" i="2"/>
  <c r="Q12" i="2"/>
  <c r="Q25" i="2"/>
  <c r="Q38" i="2"/>
  <c r="Q4" i="2"/>
  <c r="Q33" i="2"/>
  <c r="Q30" i="2"/>
  <c r="Q27" i="2"/>
  <c r="Q41" i="2"/>
  <c r="Q19" i="2"/>
  <c r="Q34" i="2"/>
  <c r="L34" i="2"/>
  <c r="L29" i="2"/>
  <c r="L17" i="2"/>
  <c r="L11" i="2"/>
  <c r="L6" i="2"/>
  <c r="L23" i="2"/>
  <c r="L28" i="2"/>
  <c r="L5" i="2"/>
  <c r="L18" i="2"/>
  <c r="L32" i="2"/>
  <c r="L10" i="2"/>
  <c r="L7" i="2"/>
  <c r="L3" i="2"/>
  <c r="L20" i="2"/>
  <c r="L26" i="2"/>
  <c r="L21" i="2"/>
  <c r="L22" i="2"/>
  <c r="L15" i="2"/>
  <c r="L16" i="2"/>
  <c r="L8" i="2"/>
  <c r="L31" i="2"/>
  <c r="L35" i="2"/>
  <c r="L39" i="2"/>
  <c r="L37" i="2"/>
  <c r="L2" i="2"/>
  <c r="L14" i="2"/>
  <c r="L9" i="2"/>
  <c r="L24" i="2"/>
  <c r="L40" i="2"/>
  <c r="L13" i="2"/>
  <c r="L36" i="2"/>
  <c r="L12" i="2"/>
  <c r="L25" i="2"/>
  <c r="L38" i="2"/>
  <c r="L4" i="2"/>
  <c r="L33" i="2"/>
  <c r="L30" i="2"/>
  <c r="L27" i="2"/>
  <c r="L41" i="2"/>
  <c r="L19" i="2"/>
  <c r="M29" i="2"/>
  <c r="M17" i="2"/>
  <c r="N17" i="2" s="1"/>
  <c r="O17" i="2" s="1"/>
  <c r="M11" i="2"/>
  <c r="N11" i="2" s="1"/>
  <c r="O11" i="2" s="1"/>
  <c r="M6" i="2"/>
  <c r="N6" i="2" s="1"/>
  <c r="O6" i="2" s="1"/>
  <c r="M23" i="2"/>
  <c r="N23" i="2" s="1"/>
  <c r="O23" i="2" s="1"/>
  <c r="M28" i="2"/>
  <c r="N28" i="2" s="1"/>
  <c r="O28" i="2" s="1"/>
  <c r="M5" i="2"/>
  <c r="N5" i="2" s="1"/>
  <c r="O5" i="2" s="1"/>
  <c r="M18" i="2"/>
  <c r="N18" i="2" s="1"/>
  <c r="O18" i="2" s="1"/>
  <c r="M32" i="2"/>
  <c r="N32" i="2" s="1"/>
  <c r="O32" i="2" s="1"/>
  <c r="M10" i="2"/>
  <c r="N10" i="2" s="1"/>
  <c r="O10" i="2" s="1"/>
  <c r="M7" i="2"/>
  <c r="N7" i="2" s="1"/>
  <c r="O7" i="2" s="1"/>
  <c r="M3" i="2"/>
  <c r="N3" i="2" s="1"/>
  <c r="O3" i="2" s="1"/>
  <c r="M20" i="2"/>
  <c r="N20" i="2" s="1"/>
  <c r="O20" i="2" s="1"/>
  <c r="M26" i="2"/>
  <c r="N26" i="2" s="1"/>
  <c r="O26" i="2" s="1"/>
  <c r="M21" i="2"/>
  <c r="N21" i="2" s="1"/>
  <c r="O21" i="2" s="1"/>
  <c r="M22" i="2"/>
  <c r="N22" i="2" s="1"/>
  <c r="O22" i="2" s="1"/>
  <c r="M15" i="2"/>
  <c r="N15" i="2" s="1"/>
  <c r="O15" i="2" s="1"/>
  <c r="M16" i="2"/>
  <c r="N16" i="2" s="1"/>
  <c r="O16" i="2" s="1"/>
  <c r="M8" i="2"/>
  <c r="N8" i="2" s="1"/>
  <c r="O8" i="2" s="1"/>
  <c r="M31" i="2"/>
  <c r="N31" i="2" s="1"/>
  <c r="O31" i="2" s="1"/>
  <c r="M35" i="2"/>
  <c r="M39" i="2"/>
  <c r="M37" i="2"/>
  <c r="M2" i="2"/>
  <c r="M14" i="2"/>
  <c r="M9" i="2"/>
  <c r="M24" i="2"/>
  <c r="M40" i="2"/>
  <c r="M13" i="2"/>
  <c r="M36" i="2"/>
  <c r="M12" i="2"/>
  <c r="M25" i="2"/>
  <c r="M38" i="2"/>
  <c r="M4" i="2"/>
  <c r="M33" i="2"/>
  <c r="M30" i="2"/>
  <c r="M27" i="2"/>
  <c r="M41" i="2"/>
  <c r="M19" i="2"/>
  <c r="M34" i="2"/>
  <c r="K29" i="2"/>
  <c r="K17" i="2"/>
  <c r="K11" i="2"/>
  <c r="K6" i="2"/>
  <c r="K23" i="2"/>
  <c r="K28" i="2"/>
  <c r="K5" i="2"/>
  <c r="K18" i="2"/>
  <c r="K32" i="2"/>
  <c r="K10" i="2"/>
  <c r="K7" i="2"/>
  <c r="K3" i="2"/>
  <c r="K20" i="2"/>
  <c r="K26" i="2"/>
  <c r="K21" i="2"/>
  <c r="K22" i="2"/>
  <c r="K15" i="2"/>
  <c r="K16" i="2"/>
  <c r="K8" i="2"/>
  <c r="K31" i="2"/>
  <c r="K35" i="2"/>
  <c r="K39" i="2"/>
  <c r="K37" i="2"/>
  <c r="K2" i="2"/>
  <c r="K14" i="2"/>
  <c r="K9" i="2"/>
  <c r="K24" i="2"/>
  <c r="K40" i="2"/>
  <c r="K13" i="2"/>
  <c r="K36" i="2"/>
  <c r="K12" i="2"/>
  <c r="K25" i="2"/>
  <c r="K38" i="2"/>
  <c r="K4" i="2"/>
  <c r="K33" i="2"/>
  <c r="K30" i="2"/>
  <c r="K27" i="2"/>
  <c r="K41" i="2"/>
  <c r="K19" i="2"/>
  <c r="K34" i="2"/>
  <c r="N29" i="2" l="1"/>
  <c r="O29" i="2" s="1"/>
  <c r="N35" i="2"/>
  <c r="O35" i="2" s="1"/>
  <c r="N39" i="2"/>
  <c r="O39" i="2" s="1"/>
  <c r="N37" i="2"/>
  <c r="O37" i="2" s="1"/>
  <c r="N2" i="2"/>
  <c r="O2" i="2" s="1"/>
  <c r="N14" i="2"/>
  <c r="O14" i="2" s="1"/>
  <c r="N9" i="2"/>
  <c r="O9" i="2" s="1"/>
  <c r="N24" i="2"/>
  <c r="O24" i="2" s="1"/>
  <c r="N40" i="2"/>
  <c r="O40" i="2" s="1"/>
  <c r="N13" i="2"/>
  <c r="O13" i="2" s="1"/>
  <c r="N36" i="2"/>
  <c r="O36" i="2" s="1"/>
  <c r="N12" i="2"/>
  <c r="O12" i="2" s="1"/>
  <c r="N25" i="2"/>
  <c r="O25" i="2" s="1"/>
  <c r="N38" i="2"/>
  <c r="O38" i="2" s="1"/>
  <c r="N4" i="2"/>
  <c r="O4" i="2" s="1"/>
  <c r="N33" i="2"/>
  <c r="O33" i="2" s="1"/>
  <c r="N30" i="2"/>
  <c r="O30" i="2" s="1"/>
  <c r="N27" i="2"/>
  <c r="O27" i="2" s="1"/>
  <c r="N41" i="2"/>
  <c r="O41" i="2" s="1"/>
  <c r="N19" i="2"/>
  <c r="O19" i="2" s="1"/>
  <c r="N34" i="2"/>
  <c r="O34" i="2" s="1"/>
</calcChain>
</file>

<file path=xl/sharedStrings.xml><?xml version="1.0" encoding="utf-8"?>
<sst xmlns="http://schemas.openxmlformats.org/spreadsheetml/2006/main" count="293" uniqueCount="119">
  <si>
    <t>Order ID</t>
  </si>
  <si>
    <t>Order Date</t>
  </si>
  <si>
    <t>Customer Name</t>
  </si>
  <si>
    <t>City</t>
  </si>
  <si>
    <t>Category</t>
  </si>
  <si>
    <t>Product</t>
  </si>
  <si>
    <t>Quantity</t>
  </si>
  <si>
    <t>Unit Price</t>
  </si>
  <si>
    <t>Discount %</t>
  </si>
  <si>
    <t>Payment Mode</t>
  </si>
  <si>
    <t>Clean Name</t>
  </si>
  <si>
    <t>Order No</t>
  </si>
  <si>
    <t>Total Amount</t>
  </si>
  <si>
    <t>Discount Amount</t>
  </si>
  <si>
    <t>Final Amount</t>
  </si>
  <si>
    <t>Order Size</t>
  </si>
  <si>
    <t>Month</t>
  </si>
  <si>
    <t>ORD-013</t>
  </si>
  <si>
    <t>vikram mehta</t>
  </si>
  <si>
    <t>Pune</t>
  </si>
  <si>
    <t>Electronics</t>
  </si>
  <si>
    <t>Webcam</t>
  </si>
  <si>
    <t>Cash</t>
  </si>
  <si>
    <t>ORD-021</t>
  </si>
  <si>
    <t>arjun reddy</t>
  </si>
  <si>
    <t>Mumbai</t>
  </si>
  <si>
    <t>UPI</t>
  </si>
  <si>
    <t>ORD-016</t>
  </si>
  <si>
    <t>Priya Verma</t>
  </si>
  <si>
    <t>Gurugram</t>
  </si>
  <si>
    <t>Stationery</t>
  </si>
  <si>
    <t>Notebook</t>
  </si>
  <si>
    <t>ORD-033</t>
  </si>
  <si>
    <t>Delhi</t>
  </si>
  <si>
    <t>Pen Box</t>
  </si>
  <si>
    <t>ORD-008</t>
  </si>
  <si>
    <t>Furniture</t>
  </si>
  <si>
    <t>Desk Lamp</t>
  </si>
  <si>
    <t>Card</t>
  </si>
  <si>
    <t>ORD-019</t>
  </si>
  <si>
    <t>NEHA GUPTA</t>
  </si>
  <si>
    <t>Jaipur</t>
  </si>
  <si>
    <t>ORD-038</t>
  </si>
  <si>
    <t xml:space="preserve">  Rohit Jain </t>
  </si>
  <si>
    <t>ORD-040</t>
  </si>
  <si>
    <t>Arjun Reddy</t>
  </si>
  <si>
    <t>ORD-022</t>
  </si>
  <si>
    <t xml:space="preserve">  Rahul Sharma </t>
  </si>
  <si>
    <t>Mouse</t>
  </si>
  <si>
    <t>ORD-004</t>
  </si>
  <si>
    <t>Vikram Mehta</t>
  </si>
  <si>
    <t>Bookshelf</t>
  </si>
  <si>
    <t>ORD-035</t>
  </si>
  <si>
    <t>SNEHA IYER</t>
  </si>
  <si>
    <t>File Folder</t>
  </si>
  <si>
    <t>ORD-007</t>
  </si>
  <si>
    <t>ORD-039</t>
  </si>
  <si>
    <t>ARJUN REDDY</t>
  </si>
  <si>
    <t>Office Chair</t>
  </si>
  <si>
    <t>ORD-023</t>
  </si>
  <si>
    <t>ANITA SINGH</t>
  </si>
  <si>
    <t>ORD-026</t>
  </si>
  <si>
    <t>Keyboard</t>
  </si>
  <si>
    <t>ORD-006</t>
  </si>
  <si>
    <t xml:space="preserve">  Amit Kumar </t>
  </si>
  <si>
    <t>Monitor</t>
  </si>
  <si>
    <t>ORD-003</t>
  </si>
  <si>
    <t>RAHUL SHARMA</t>
  </si>
  <si>
    <t>ORD-020</t>
  </si>
  <si>
    <t>ORD-024</t>
  </si>
  <si>
    <t>Sneha Iyer</t>
  </si>
  <si>
    <t>ORD-010</t>
  </si>
  <si>
    <t xml:space="preserve">  Neha Gupta </t>
  </si>
  <si>
    <t>Stapler</t>
  </si>
  <si>
    <t>ORD-018</t>
  </si>
  <si>
    <t>Headphones</t>
  </si>
  <si>
    <t>ORD-029</t>
  </si>
  <si>
    <t>ORD-017</t>
  </si>
  <si>
    <t>ORD-025</t>
  </si>
  <si>
    <t>amit kumar</t>
  </si>
  <si>
    <t>ORD-031</t>
  </si>
  <si>
    <t>PRIYA VERMA</t>
  </si>
  <si>
    <t>ORD-015</t>
  </si>
  <si>
    <t>AMIT KUMAR</t>
  </si>
  <si>
    <t>ORD-002</t>
  </si>
  <si>
    <t xml:space="preserve">  Sneha Iyer </t>
  </si>
  <si>
    <t>ORD-014</t>
  </si>
  <si>
    <t xml:space="preserve">  Vikram Mehta </t>
  </si>
  <si>
    <t>ORD-009</t>
  </si>
  <si>
    <t>neha gupta</t>
  </si>
  <si>
    <t>ORD-001</t>
  </si>
  <si>
    <t>ORD-030</t>
  </si>
  <si>
    <t>ORD-005</t>
  </si>
  <si>
    <t>anita singh</t>
  </si>
  <si>
    <t>ORD-037</t>
  </si>
  <si>
    <t>ORD-028</t>
  </si>
  <si>
    <t>Neha Gupta</t>
  </si>
  <si>
    <t>ORD-034</t>
  </si>
  <si>
    <t>ORD-036</t>
  </si>
  <si>
    <t>ORD-011</t>
  </si>
  <si>
    <t>ORD-032</t>
  </si>
  <si>
    <t>ORD-012</t>
  </si>
  <si>
    <t>Amit Kumar</t>
  </si>
  <si>
    <t>ORD-027</t>
  </si>
  <si>
    <t>weeday</t>
  </si>
  <si>
    <t>Row Labels</t>
  </si>
  <si>
    <t>Grand Total</t>
  </si>
  <si>
    <t>Sum of Final Amount</t>
  </si>
  <si>
    <t>Count of Order ID</t>
  </si>
  <si>
    <t>Average of Final Amount2</t>
  </si>
  <si>
    <t>Max of Final Amount2</t>
  </si>
  <si>
    <t>BIG</t>
  </si>
  <si>
    <t>Medium</t>
  </si>
  <si>
    <t>Small</t>
  </si>
  <si>
    <t>Sales Data</t>
  </si>
  <si>
    <t>📦 Total orders</t>
  </si>
  <si>
    <t>📊 Average order</t>
  </si>
  <si>
    <t>🏆 Highest order</t>
  </si>
  <si>
    <t xml:space="preserve"> 💰Total final amount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</si>
</sst>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164" formatCode="dd/mmm/yyyy"/>
    <numFmt numFmtId="165" formatCode="_ [$₹-4009]\ * #,##0_ ;_ [$₹-4009]\ * \-#,##0_ ;_ [$₹-4009]\ * &quot;-&quot;??_ ;_ @_ "/>
  </numFmts>
  <fonts count="7" x14ac:knownFonts="1">
    <font>
      <sz val="11"/>
      <color theme="1"/>
      <name val="Calibri"/>
      <family val="2"/>
      <scheme val="minor"/>
    </font>
    <font>
      <sz val="10"/>
      <name val="Arial"/>
    </font>
    <font>
      <b/>
      <sz val="11"/>
      <color theme="1"/>
      <name val="Calibri"/>
      <family val="2"/>
      <scheme val="minor"/>
    </font>
    <font>
      <b/>
      <sz val="11"/>
      <color rgb="FFFFFFFF"/>
      <name val="Arial"/>
      <family val="2"/>
    </font>
    <font>
      <b/>
      <sz val="11"/>
      <name val="Arial"/>
      <family val="2"/>
    </font>
    <font>
      <sz val="11"/>
      <color theme="1"/>
      <name val="Calibri"/>
      <family val="2"/>
      <scheme val="minor"/>
    </font>
    <font>
      <b/>
      <sz val="26"/>
      <color theme="1"/>
      <name val="Calibri"/>
      <family val="2"/>
      <scheme val="minor"/>
    </font>
  </fonts>
  <fills count="7">
    <fill>
      <patternFill patternType="none"/>
    </fill>
    <fill>
      <patternFill patternType="gray125"/>
    </fill>
    <fill>
      <patternFill patternType="solid">
        <fgColor rgb="FF1F3864"/>
      </patternFill>
    </fill>
    <fill>
      <patternFill patternType="solid">
        <fgColor rgb="FFFFFF00"/>
      </patternFill>
    </fill>
    <fill>
      <patternFill patternType="solid">
        <fgColor rgb="FFFFF9C4"/>
      </patternFill>
    </fill>
    <fill>
      <patternFill patternType="solid">
        <fgColor rgb="FFFFFF00"/>
        <bgColor indexed="64"/>
      </patternFill>
    </fill>
    <fill>
      <patternFill patternType="solid">
        <fgColor rgb="FFFFFFCC"/>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2">
    <xf numFmtId="0" fontId="0" fillId="0" borderId="0"/>
    <xf numFmtId="9" fontId="5" fillId="0" borderId="0" applyFont="0" applyFill="0" applyBorder="0" applyAlignment="0" applyProtection="0"/>
  </cellStyleXfs>
  <cellXfs count="22">
    <xf numFmtId="0" fontId="0" fillId="0" borderId="0" xfId="0"/>
    <xf numFmtId="0" fontId="2" fillId="0" borderId="0" xfId="0" applyFont="1"/>
    <xf numFmtId="164" fontId="0" fillId="0" borderId="0" xfId="0" applyNumberFormat="1"/>
    <xf numFmtId="0" fontId="3" fillId="2" borderId="1" xfId="0" applyFont="1" applyFill="1" applyBorder="1" applyAlignment="1">
      <alignment horizontal="center"/>
    </xf>
    <xf numFmtId="164" fontId="3" fillId="2" borderId="1" xfId="0" applyNumberFormat="1" applyFont="1" applyFill="1" applyBorder="1" applyAlignment="1">
      <alignment horizontal="center"/>
    </xf>
    <xf numFmtId="165" fontId="3" fillId="2" borderId="1" xfId="0" applyNumberFormat="1" applyFont="1" applyFill="1" applyBorder="1" applyAlignment="1">
      <alignment horizontal="center"/>
    </xf>
    <xf numFmtId="9" fontId="3" fillId="2" borderId="1" xfId="1" applyFont="1" applyFill="1" applyBorder="1" applyAlignment="1">
      <alignment horizontal="center"/>
    </xf>
    <xf numFmtId="0" fontId="4" fillId="3" borderId="1" xfId="0" applyFont="1" applyFill="1" applyBorder="1" applyAlignment="1">
      <alignment horizontal="center"/>
    </xf>
    <xf numFmtId="0" fontId="1" fillId="0" borderId="1" xfId="0" applyFont="1" applyBorder="1" applyAlignment="1">
      <alignment horizontal="center"/>
    </xf>
    <xf numFmtId="164" fontId="1" fillId="0" borderId="1" xfId="0" applyNumberFormat="1" applyFont="1" applyBorder="1" applyAlignment="1">
      <alignment horizontal="center"/>
    </xf>
    <xf numFmtId="165" fontId="1" fillId="0" borderId="1" xfId="0" applyNumberFormat="1" applyFont="1" applyBorder="1" applyAlignment="1">
      <alignment horizontal="center"/>
    </xf>
    <xf numFmtId="9" fontId="1" fillId="0" borderId="1" xfId="1" applyFont="1" applyBorder="1" applyAlignment="1">
      <alignment horizontal="center"/>
    </xf>
    <xf numFmtId="0" fontId="1" fillId="4" borderId="1" xfId="0" applyFont="1" applyFill="1" applyBorder="1" applyAlignment="1">
      <alignment horizontal="center"/>
    </xf>
    <xf numFmtId="0" fontId="2" fillId="5" borderId="1" xfId="0" applyFont="1" applyFill="1" applyBorder="1"/>
    <xf numFmtId="0" fontId="0" fillId="6" borderId="1" xfId="0" applyFill="1" applyBorder="1"/>
    <xf numFmtId="0" fontId="0" fillId="0" borderId="0" xfId="0" pivotButton="1"/>
    <xf numFmtId="0" fontId="0" fillId="0" borderId="0" xfId="0" applyAlignment="1">
      <alignment horizontal="left"/>
    </xf>
    <xf numFmtId="1" fontId="0" fillId="0" borderId="0" xfId="0" applyNumberFormat="1"/>
    <xf numFmtId="0" fontId="0" fillId="0" borderId="0" xfId="0" applyAlignment="1">
      <alignment horizontal="center"/>
    </xf>
    <xf numFmtId="1" fontId="0" fillId="0" borderId="0" xfId="0" applyNumberFormat="1" applyAlignment="1">
      <alignment horizontal="center"/>
    </xf>
    <xf numFmtId="0" fontId="6" fillId="0" borderId="0" xfId="0" applyFont="1"/>
    <xf numFmtId="0" fontId="0" fillId="0" borderId="0" xfId="0" applyNumberFormat="1"/>
  </cellXfs>
  <cellStyles count="2">
    <cellStyle name="Normal" xfId="0" builtinId="0"/>
    <cellStyle name="Percent" xfId="1" builtinId="5"/>
  </cellStyles>
  <dxfs count="6">
    <dxf>
      <numFmt numFmtId="1" formatCode="0"/>
    </dxf>
    <dxf>
      <numFmt numFmtId="1" formatCode="0"/>
    </dxf>
    <dxf>
      <numFmt numFmtId="1" formatCode="0"/>
    </dxf>
    <dxf>
      <numFmt numFmtId="1" formatCode="0"/>
    </dxf>
    <dxf>
      <numFmt numFmtId="1" formatCode="0"/>
    </dxf>
    <dxf>
      <numFmt numFmtId="1" formatCode="0"/>
    </dxf>
  </dxfs>
  <tableStyles count="0" defaultTableStyle="TableStyleMedium9" defaultPivotStyle="PivotStyleLight16"/>
  <colors>
    <mruColors>
      <color rgb="FFFF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5" Type="http://schemas.openxmlformats.org/officeDocument/2006/relationships/pivotCacheDefinition" Target="pivotCache/pivotCacheDefinition1.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[Excel_Practice_Sales_Beginner.xlsx]pivot table!PivotTable3</c:name>
    <c:fmtId val="17"/>
  </c:pivotSource>
  <c:chart>
    <c:autoTitleDeleted val="1"/>
    <c:pivotFmts>
      <c:pivotFmt>
        <c:idx val="0"/>
        <c:spPr>
          <a:gradFill rotWithShape="1">
            <a:gsLst>
              <a:gs pos="0">
                <a:schemeClr val="accent1">
                  <a:tint val="50000"/>
                  <a:satMod val="300000"/>
                </a:schemeClr>
              </a:gs>
              <a:gs pos="35000">
                <a:schemeClr val="accent1">
                  <a:tint val="37000"/>
                  <a:satMod val="300000"/>
                </a:schemeClr>
              </a:gs>
              <a:gs pos="100000">
                <a:schemeClr val="accent1">
                  <a:tint val="15000"/>
                  <a:satMod val="350000"/>
                </a:schemeClr>
              </a:gs>
            </a:gsLst>
            <a:lin ang="16200000" scaled="1"/>
          </a:gradFill>
          <a:ln w="9525" cap="flat" cmpd="sng" algn="ctr">
            <a:solidFill>
              <a:schemeClr val="accent1">
                <a:shade val="95000"/>
              </a:schemeClr>
            </a:solidFill>
            <a:round/>
          </a:ln>
          <a:effectLst>
            <a:outerShdw blurRad="40000" dist="20000" dir="5400000" rotWithShape="0">
              <a:srgbClr val="000000">
                <a:alpha val="38000"/>
              </a:srgbClr>
            </a:outerShdw>
          </a:effectLst>
        </c:spPr>
        <c:marker>
          <c:symbol val="circle"/>
          <c:size val="4"/>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gradFill rotWithShape="1">
            <a:gsLst>
              <a:gs pos="0">
                <a:schemeClr val="accent1">
                  <a:tint val="50000"/>
                  <a:satMod val="300000"/>
                </a:schemeClr>
              </a:gs>
              <a:gs pos="35000">
                <a:schemeClr val="accent1">
                  <a:tint val="37000"/>
                  <a:satMod val="300000"/>
                </a:schemeClr>
              </a:gs>
              <a:gs pos="100000">
                <a:schemeClr val="accent1">
                  <a:tint val="15000"/>
                  <a:satMod val="350000"/>
                </a:schemeClr>
              </a:gs>
            </a:gsLst>
            <a:lin ang="16200000" scaled="1"/>
          </a:gradFill>
          <a:ln w="9525" cap="flat" cmpd="sng" algn="ctr">
            <a:solidFill>
              <a:schemeClr val="accent1">
                <a:shade val="95000"/>
              </a:schemeClr>
            </a:solidFill>
            <a:round/>
          </a:ln>
          <a:effectLst>
            <a:outerShdw blurRad="40000" dist="20000" dir="5400000" rotWithShape="0">
              <a:srgbClr val="000000">
                <a:alpha val="38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2"/>
        <c:spPr>
          <a:gradFill rotWithShape="1">
            <a:gsLst>
              <a:gs pos="0">
                <a:schemeClr val="accent1">
                  <a:tint val="50000"/>
                  <a:satMod val="300000"/>
                </a:schemeClr>
              </a:gs>
              <a:gs pos="35000">
                <a:schemeClr val="accent1">
                  <a:tint val="37000"/>
                  <a:satMod val="300000"/>
                </a:schemeClr>
              </a:gs>
              <a:gs pos="100000">
                <a:schemeClr val="accent1">
                  <a:tint val="15000"/>
                  <a:satMod val="350000"/>
                </a:schemeClr>
              </a:gs>
            </a:gsLst>
            <a:lin ang="16200000" scaled="1"/>
          </a:gradFill>
          <a:ln w="9525" cap="flat" cmpd="sng" algn="ctr">
            <a:solidFill>
              <a:schemeClr val="accent1">
                <a:shade val="95000"/>
              </a:schemeClr>
            </a:solidFill>
            <a:round/>
          </a:ln>
          <a:effectLst>
            <a:outerShdw blurRad="40000" dist="20000" dir="5400000" rotWithShape="0">
              <a:srgbClr val="000000">
                <a:alpha val="38000"/>
              </a:srgbClr>
            </a:outerShdw>
          </a:effectLst>
        </c:spPr>
      </c:pivotFmt>
      <c:pivotFmt>
        <c:idx val="3"/>
        <c:spPr>
          <a:gradFill rotWithShape="1">
            <a:gsLst>
              <a:gs pos="0">
                <a:schemeClr val="accent1">
                  <a:tint val="50000"/>
                  <a:satMod val="300000"/>
                </a:schemeClr>
              </a:gs>
              <a:gs pos="35000">
                <a:schemeClr val="accent1">
                  <a:tint val="37000"/>
                  <a:satMod val="300000"/>
                </a:schemeClr>
              </a:gs>
              <a:gs pos="100000">
                <a:schemeClr val="accent1">
                  <a:tint val="15000"/>
                  <a:satMod val="350000"/>
                </a:schemeClr>
              </a:gs>
            </a:gsLst>
            <a:lin ang="16200000" scaled="1"/>
          </a:gradFill>
          <a:ln w="9525" cap="flat" cmpd="sng" algn="ctr">
            <a:solidFill>
              <a:schemeClr val="accent1">
                <a:shade val="95000"/>
              </a:schemeClr>
            </a:solidFill>
            <a:round/>
          </a:ln>
          <a:effectLst>
            <a:outerShdw blurRad="40000" dist="20000" dir="5400000" rotWithShape="0">
              <a:srgbClr val="000000">
                <a:alpha val="38000"/>
              </a:srgbClr>
            </a:outerShdw>
          </a:effectLst>
        </c:spPr>
      </c:pivotFmt>
      <c:pivotFmt>
        <c:idx val="4"/>
        <c:spPr>
          <a:gradFill rotWithShape="1">
            <a:gsLst>
              <a:gs pos="0">
                <a:schemeClr val="accent1">
                  <a:tint val="50000"/>
                  <a:satMod val="300000"/>
                </a:schemeClr>
              </a:gs>
              <a:gs pos="35000">
                <a:schemeClr val="accent1">
                  <a:tint val="37000"/>
                  <a:satMod val="300000"/>
                </a:schemeClr>
              </a:gs>
              <a:gs pos="100000">
                <a:schemeClr val="accent1">
                  <a:tint val="15000"/>
                  <a:satMod val="350000"/>
                </a:schemeClr>
              </a:gs>
            </a:gsLst>
            <a:lin ang="16200000" scaled="1"/>
          </a:gradFill>
          <a:ln w="9525" cap="flat" cmpd="sng" algn="ctr">
            <a:solidFill>
              <a:schemeClr val="accent1">
                <a:shade val="95000"/>
              </a:schemeClr>
            </a:solidFill>
            <a:round/>
          </a:ln>
          <a:effectLst>
            <a:outerShdw blurRad="40000" dist="20000" dir="5400000" rotWithShape="0">
              <a:srgbClr val="000000">
                <a:alpha val="38000"/>
              </a:srgbClr>
            </a:outerShdw>
          </a:effectLst>
        </c:spPr>
      </c:pivotFmt>
      <c:pivotFmt>
        <c:idx val="5"/>
        <c:spPr>
          <a:gradFill rotWithShape="1">
            <a:gsLst>
              <a:gs pos="0">
                <a:schemeClr val="accent1">
                  <a:tint val="50000"/>
                  <a:satMod val="300000"/>
                </a:schemeClr>
              </a:gs>
              <a:gs pos="35000">
                <a:schemeClr val="accent1">
                  <a:tint val="37000"/>
                  <a:satMod val="300000"/>
                </a:schemeClr>
              </a:gs>
              <a:gs pos="100000">
                <a:schemeClr val="accent1">
                  <a:tint val="15000"/>
                  <a:satMod val="350000"/>
                </a:schemeClr>
              </a:gs>
            </a:gsLst>
            <a:lin ang="16200000" scaled="1"/>
          </a:gradFill>
          <a:ln w="9525" cap="flat" cmpd="sng" algn="ctr">
            <a:solidFill>
              <a:schemeClr val="accent1">
                <a:shade val="95000"/>
              </a:schemeClr>
            </a:solidFill>
            <a:round/>
          </a:ln>
          <a:effectLst>
            <a:outerShdw blurRad="40000" dist="20000" dir="5400000" rotWithShape="0">
              <a:srgbClr val="000000">
                <a:alpha val="38000"/>
              </a:srgbClr>
            </a:outerShdw>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layout/>
            </c:ext>
          </c:extLst>
        </c:dLbl>
      </c:pivotFmt>
      <c:pivotFmt>
        <c:idx val="6"/>
        <c:spPr>
          <a:gradFill rotWithShape="1">
            <a:gsLst>
              <a:gs pos="0">
                <a:schemeClr val="accent1">
                  <a:tint val="50000"/>
                  <a:satMod val="300000"/>
                </a:schemeClr>
              </a:gs>
              <a:gs pos="35000">
                <a:schemeClr val="accent1">
                  <a:tint val="37000"/>
                  <a:satMod val="300000"/>
                </a:schemeClr>
              </a:gs>
              <a:gs pos="100000">
                <a:schemeClr val="accent1">
                  <a:tint val="15000"/>
                  <a:satMod val="350000"/>
                </a:schemeClr>
              </a:gs>
            </a:gsLst>
            <a:lin ang="16200000" scaled="1"/>
          </a:gradFill>
          <a:ln w="9525" cap="flat" cmpd="sng" algn="ctr">
            <a:solidFill>
              <a:schemeClr val="accent1">
                <a:shade val="95000"/>
              </a:schemeClr>
            </a:solidFill>
            <a:round/>
          </a:ln>
          <a:effectLst>
            <a:outerShdw blurRad="40000" dist="20000" dir="5400000" rotWithShape="0">
              <a:srgbClr val="000000">
                <a:alpha val="38000"/>
              </a:srgbClr>
            </a:outerShdw>
          </a:effectLst>
        </c:spPr>
      </c:pivotFmt>
      <c:pivotFmt>
        <c:idx val="7"/>
        <c:spPr>
          <a:gradFill rotWithShape="1">
            <a:gsLst>
              <a:gs pos="0">
                <a:schemeClr val="accent1">
                  <a:tint val="50000"/>
                  <a:satMod val="300000"/>
                </a:schemeClr>
              </a:gs>
              <a:gs pos="35000">
                <a:schemeClr val="accent1">
                  <a:tint val="37000"/>
                  <a:satMod val="300000"/>
                </a:schemeClr>
              </a:gs>
              <a:gs pos="100000">
                <a:schemeClr val="accent1">
                  <a:tint val="15000"/>
                  <a:satMod val="350000"/>
                </a:schemeClr>
              </a:gs>
            </a:gsLst>
            <a:lin ang="16200000" scaled="1"/>
          </a:gradFill>
          <a:ln w="9525" cap="flat" cmpd="sng" algn="ctr">
            <a:solidFill>
              <a:schemeClr val="accent1">
                <a:shade val="95000"/>
              </a:schemeClr>
            </a:solidFill>
            <a:round/>
          </a:ln>
          <a:effectLst>
            <a:outerShdw blurRad="40000" dist="20000" dir="5400000" rotWithShape="0">
              <a:srgbClr val="000000">
                <a:alpha val="38000"/>
              </a:srgbClr>
            </a:outerShdw>
          </a:effectLst>
        </c:spPr>
      </c:pivotFmt>
      <c:pivotFmt>
        <c:idx val="8"/>
        <c:spPr>
          <a:gradFill rotWithShape="1">
            <a:gsLst>
              <a:gs pos="0">
                <a:schemeClr val="accent1">
                  <a:tint val="50000"/>
                  <a:satMod val="300000"/>
                </a:schemeClr>
              </a:gs>
              <a:gs pos="35000">
                <a:schemeClr val="accent1">
                  <a:tint val="37000"/>
                  <a:satMod val="300000"/>
                </a:schemeClr>
              </a:gs>
              <a:gs pos="100000">
                <a:schemeClr val="accent1">
                  <a:tint val="15000"/>
                  <a:satMod val="350000"/>
                </a:schemeClr>
              </a:gs>
            </a:gsLst>
            <a:lin ang="16200000" scaled="1"/>
          </a:gradFill>
          <a:ln w="9525" cap="flat" cmpd="sng" algn="ctr">
            <a:solidFill>
              <a:schemeClr val="accent1">
                <a:shade val="95000"/>
              </a:schemeClr>
            </a:solidFill>
            <a:round/>
          </a:ln>
          <a:effectLst>
            <a:outerShdw blurRad="40000" dist="20000" dir="5400000" rotWithShape="0">
              <a:srgbClr val="000000">
                <a:alpha val="38000"/>
              </a:srgbClr>
            </a:outerShdw>
          </a:effectLst>
        </c:spPr>
      </c:pivotFmt>
    </c:pivotFmts>
    <c:plotArea>
      <c:layout/>
      <c:doughnutChart>
        <c:varyColors val="1"/>
        <c:ser>
          <c:idx val="0"/>
          <c:order val="0"/>
          <c:tx>
            <c:strRef>
              <c:f>'pivot table'!$B$26</c:f>
              <c:strCache>
                <c:ptCount val="1"/>
                <c:pt idx="0">
                  <c:v>Total</c:v>
                </c:pt>
              </c:strCache>
            </c:strRef>
          </c:tx>
          <c:dPt>
            <c:idx val="0"/>
            <c:bubble3D val="0"/>
            <c:spPr>
              <a:gradFill rotWithShape="1">
                <a:gsLst>
                  <a:gs pos="0">
                    <a:schemeClr val="accent1">
                      <a:tint val="50000"/>
                      <a:satMod val="300000"/>
                    </a:schemeClr>
                  </a:gs>
                  <a:gs pos="35000">
                    <a:schemeClr val="accent1">
                      <a:tint val="37000"/>
                      <a:satMod val="300000"/>
                    </a:schemeClr>
                  </a:gs>
                  <a:gs pos="100000">
                    <a:schemeClr val="accent1">
                      <a:tint val="15000"/>
                      <a:satMod val="350000"/>
                    </a:schemeClr>
                  </a:gs>
                </a:gsLst>
                <a:lin ang="16200000" scaled="1"/>
              </a:gradFill>
              <a:ln w="9525" cap="flat" cmpd="sng" algn="ctr">
                <a:solidFill>
                  <a:schemeClr val="accent1">
                    <a:shade val="95000"/>
                  </a:schemeClr>
                </a:solidFill>
                <a:round/>
              </a:ln>
              <a:effectLst>
                <a:outerShdw blurRad="40000" dist="20000" dir="5400000" rotWithShape="0">
                  <a:srgbClr val="000000">
                    <a:alpha val="38000"/>
                  </a:srgbClr>
                </a:outerShdw>
              </a:effectLst>
            </c:spPr>
            <c:extLst>
              <c:ext xmlns:c16="http://schemas.microsoft.com/office/drawing/2014/chart" uri="{C3380CC4-5D6E-409C-BE32-E72D297353CC}">
                <c16:uniqueId val="{00000001-26EA-4913-AD4B-A6BA9DC590BE}"/>
              </c:ext>
            </c:extLst>
          </c:dPt>
          <c:dPt>
            <c:idx val="1"/>
            <c:bubble3D val="0"/>
            <c:spPr>
              <a:gradFill rotWithShape="1">
                <a:gsLst>
                  <a:gs pos="0">
                    <a:schemeClr val="accent2">
                      <a:tint val="50000"/>
                      <a:satMod val="300000"/>
                    </a:schemeClr>
                  </a:gs>
                  <a:gs pos="35000">
                    <a:schemeClr val="accent2">
                      <a:tint val="37000"/>
                      <a:satMod val="300000"/>
                    </a:schemeClr>
                  </a:gs>
                  <a:gs pos="100000">
                    <a:schemeClr val="accent2">
                      <a:tint val="15000"/>
                      <a:satMod val="350000"/>
                    </a:schemeClr>
                  </a:gs>
                </a:gsLst>
                <a:lin ang="16200000" scaled="1"/>
              </a:gradFill>
              <a:ln w="9525" cap="flat" cmpd="sng" algn="ctr">
                <a:solidFill>
                  <a:schemeClr val="accent2">
                    <a:shade val="95000"/>
                  </a:schemeClr>
                </a:solidFill>
                <a:round/>
              </a:ln>
              <a:effectLst>
                <a:outerShdw blurRad="40000" dist="20000" dir="5400000" rotWithShape="0">
                  <a:srgbClr val="000000">
                    <a:alpha val="38000"/>
                  </a:srgbClr>
                </a:outerShdw>
              </a:effectLst>
            </c:spPr>
            <c:extLst>
              <c:ext xmlns:c16="http://schemas.microsoft.com/office/drawing/2014/chart" uri="{C3380CC4-5D6E-409C-BE32-E72D297353CC}">
                <c16:uniqueId val="{00000003-26EA-4913-AD4B-A6BA9DC590BE}"/>
              </c:ext>
            </c:extLst>
          </c:dPt>
          <c:dPt>
            <c:idx val="2"/>
            <c:bubble3D val="0"/>
            <c:spPr>
              <a:gradFill rotWithShape="1">
                <a:gsLst>
                  <a:gs pos="0">
                    <a:schemeClr val="accent3">
                      <a:tint val="50000"/>
                      <a:satMod val="300000"/>
                    </a:schemeClr>
                  </a:gs>
                  <a:gs pos="35000">
                    <a:schemeClr val="accent3">
                      <a:tint val="37000"/>
                      <a:satMod val="300000"/>
                    </a:schemeClr>
                  </a:gs>
                  <a:gs pos="100000">
                    <a:schemeClr val="accent3">
                      <a:tint val="15000"/>
                      <a:satMod val="350000"/>
                    </a:schemeClr>
                  </a:gs>
                </a:gsLst>
                <a:lin ang="16200000" scaled="1"/>
              </a:gradFill>
              <a:ln w="9525" cap="flat" cmpd="sng" algn="ctr">
                <a:solidFill>
                  <a:schemeClr val="accent3">
                    <a:shade val="95000"/>
                  </a:schemeClr>
                </a:solidFill>
                <a:round/>
              </a:ln>
              <a:effectLst>
                <a:outerShdw blurRad="40000" dist="20000" dir="5400000" rotWithShape="0">
                  <a:srgbClr val="000000">
                    <a:alpha val="38000"/>
                  </a:srgbClr>
                </a:outerShdw>
              </a:effectLst>
            </c:spPr>
            <c:extLst>
              <c:ext xmlns:c16="http://schemas.microsoft.com/office/drawing/2014/chart" uri="{C3380CC4-5D6E-409C-BE32-E72D297353CC}">
                <c16:uniqueId val="{00000005-26EA-4913-AD4B-A6BA9DC590BE}"/>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US"/>
              </a:p>
            </c:txPr>
            <c:showLegendKey val="0"/>
            <c:showVal val="0"/>
            <c:showCatName val="0"/>
            <c:showSerName val="0"/>
            <c:showPercent val="1"/>
            <c:showBubbleSize val="0"/>
            <c:showLeaderLines val="1"/>
            <c:leaderLines>
              <c:spPr>
                <a:ln w="9525">
                  <a:solidFill>
                    <a:schemeClr val="tx1">
                      <a:lumMod val="35000"/>
                      <a:lumOff val="65000"/>
                    </a:schemeClr>
                  </a:solidFill>
                </a:ln>
                <a:effectLst/>
              </c:spPr>
            </c:leaderLines>
            <c:extLst>
              <c:ext xmlns:c15="http://schemas.microsoft.com/office/drawing/2012/chart" uri="{CE6537A1-D6FC-4f65-9D91-7224C49458BB}">
                <c15:layout/>
              </c:ext>
            </c:extLst>
          </c:dLbls>
          <c:cat>
            <c:strRef>
              <c:f>'pivot table'!$A$27:$A$30</c:f>
              <c:strCache>
                <c:ptCount val="3"/>
                <c:pt idx="0">
                  <c:v>Electronics</c:v>
                </c:pt>
                <c:pt idx="1">
                  <c:v>Furniture</c:v>
                </c:pt>
                <c:pt idx="2">
                  <c:v>Stationery</c:v>
                </c:pt>
              </c:strCache>
            </c:strRef>
          </c:cat>
          <c:val>
            <c:numRef>
              <c:f>'pivot table'!$B$27:$B$30</c:f>
              <c:numCache>
                <c:formatCode>General</c:formatCode>
                <c:ptCount val="3"/>
                <c:pt idx="0">
                  <c:v>141885</c:v>
                </c:pt>
                <c:pt idx="1">
                  <c:v>90195</c:v>
                </c:pt>
                <c:pt idx="2">
                  <c:v>17483</c:v>
                </c:pt>
              </c:numCache>
            </c:numRef>
          </c:val>
          <c:extLst>
            <c:ext xmlns:c16="http://schemas.microsoft.com/office/drawing/2014/chart" uri="{C3380CC4-5D6E-409C-BE32-E72D297353CC}">
              <c16:uniqueId val="{00000006-26EA-4913-AD4B-A6BA9DC590BE}"/>
            </c:ext>
          </c:extLst>
        </c:ser>
        <c:dLbls>
          <c:showLegendKey val="0"/>
          <c:showVal val="0"/>
          <c:showCatName val="0"/>
          <c:showSerName val="0"/>
          <c:showPercent val="1"/>
          <c:showBubbleSize val="0"/>
          <c:showLeaderLines val="1"/>
        </c:dLbls>
        <c:firstSliceAng val="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[Excel_Practice_Sales_Beginner.xlsx]pivot table!PivotTable2</c:name>
    <c:fmtId val="6"/>
  </c:pivotSource>
  <c:chart>
    <c:autoTitleDeleted val="1"/>
    <c:pivotFmts>
      <c:pivotFmt>
        <c:idx val="0"/>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w="9525">
              <a:solidFill>
                <a:schemeClr val="accent2"/>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pivotFmt>
    </c:pivotFmts>
    <c:plotArea>
      <c:layout/>
      <c:barChart>
        <c:barDir val="col"/>
        <c:grouping val="clustered"/>
        <c:varyColors val="0"/>
        <c:ser>
          <c:idx val="0"/>
          <c:order val="0"/>
          <c:tx>
            <c:strRef>
              <c:f>'pivot table'!$B$10</c:f>
              <c:strCache>
                <c:ptCount val="1"/>
                <c:pt idx="0">
                  <c:v>Total</c:v>
                </c:pt>
              </c:strCache>
            </c:strRef>
          </c:tx>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'pivot table'!$A$11:$A$16</c:f>
              <c:strCache>
                <c:ptCount val="5"/>
                <c:pt idx="0">
                  <c:v>Delhi</c:v>
                </c:pt>
                <c:pt idx="1">
                  <c:v>Gurugram</c:v>
                </c:pt>
                <c:pt idx="2">
                  <c:v>Jaipur</c:v>
                </c:pt>
                <c:pt idx="3">
                  <c:v>Mumbai</c:v>
                </c:pt>
                <c:pt idx="4">
                  <c:v>Pune</c:v>
                </c:pt>
              </c:strCache>
            </c:strRef>
          </c:cat>
          <c:val>
            <c:numRef>
              <c:f>'pivot table'!$B$11:$B$16</c:f>
              <c:numCache>
                <c:formatCode>General</c:formatCode>
                <c:ptCount val="5"/>
                <c:pt idx="0">
                  <c:v>62654</c:v>
                </c:pt>
                <c:pt idx="1">
                  <c:v>46535</c:v>
                </c:pt>
                <c:pt idx="2">
                  <c:v>20195</c:v>
                </c:pt>
                <c:pt idx="3">
                  <c:v>27900</c:v>
                </c:pt>
                <c:pt idx="4">
                  <c:v>92279</c:v>
                </c:pt>
              </c:numCache>
            </c:numRef>
          </c:val>
          <c:extLst>
            <c:ext xmlns:c16="http://schemas.microsoft.com/office/drawing/2014/chart" uri="{C3380CC4-5D6E-409C-BE32-E72D297353CC}">
              <c16:uniqueId val="{00000000-5840-494A-9C74-5F4917E8ECF3}"/>
            </c:ext>
          </c:extLst>
        </c:ser>
        <c:dLbls>
          <c:showLegendKey val="0"/>
          <c:showVal val="0"/>
          <c:showCatName val="0"/>
          <c:showSerName val="0"/>
          <c:showPercent val="0"/>
          <c:showBubbleSize val="0"/>
        </c:dLbls>
        <c:gapWidth val="100"/>
        <c:overlap val="-24"/>
        <c:axId val="236900495"/>
        <c:axId val="249062255"/>
      </c:barChart>
      <c:catAx>
        <c:axId val="236900495"/>
        <c:scaling>
          <c:orientation val="minMax"/>
        </c:scaling>
        <c:delete val="0"/>
        <c:axPos val="b"/>
        <c:numFmt formatCode="General" sourceLinked="1"/>
        <c:majorTickMark val="out"/>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49062255"/>
        <c:crosses val="autoZero"/>
        <c:auto val="1"/>
        <c:lblAlgn val="ctr"/>
        <c:lblOffset val="100"/>
        <c:noMultiLvlLbl val="0"/>
      </c:catAx>
      <c:valAx>
        <c:axId val="24906225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3690049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[Excel_Practice_Sales_Beginner.xlsx]pivot table!PivotTable5</c:name>
    <c:fmtId val="17"/>
  </c:pivotSource>
  <c:chart>
    <c:autoTitleDeleted val="1"/>
    <c:pivotFmts>
      <c:pivotFmt>
        <c:idx val="0"/>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3"/>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w="9525">
              <a:solidFill>
                <a:schemeClr val="accent2"/>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barChart>
        <c:barDir val="col"/>
        <c:grouping val="clustered"/>
        <c:varyColors val="0"/>
        <c:ser>
          <c:idx val="0"/>
          <c:order val="0"/>
          <c:tx>
            <c:strRef>
              <c:f>'pivot table'!$E$10</c:f>
              <c:strCache>
                <c:ptCount val="1"/>
                <c:pt idx="0">
                  <c:v>Total</c:v>
                </c:pt>
              </c:strCache>
            </c:strRef>
          </c:tx>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'pivot table'!$D$11:$D$14</c:f>
              <c:strCache>
                <c:ptCount val="3"/>
                <c:pt idx="0">
                  <c:v>Card</c:v>
                </c:pt>
                <c:pt idx="1">
                  <c:v>Cash</c:v>
                </c:pt>
                <c:pt idx="2">
                  <c:v>UPI</c:v>
                </c:pt>
              </c:strCache>
            </c:strRef>
          </c:cat>
          <c:val>
            <c:numRef>
              <c:f>'pivot table'!$E$11:$E$14</c:f>
              <c:numCache>
                <c:formatCode>General</c:formatCode>
                <c:ptCount val="3"/>
                <c:pt idx="0">
                  <c:v>7</c:v>
                </c:pt>
                <c:pt idx="1">
                  <c:v>18</c:v>
                </c:pt>
                <c:pt idx="2">
                  <c:v>15</c:v>
                </c:pt>
              </c:numCache>
            </c:numRef>
          </c:val>
          <c:extLst>
            <c:ext xmlns:c16="http://schemas.microsoft.com/office/drawing/2014/chart" uri="{C3380CC4-5D6E-409C-BE32-E72D297353CC}">
              <c16:uniqueId val="{00000000-FB4B-4B16-90A3-D7CE3206034E}"/>
            </c:ext>
          </c:extLst>
        </c:ser>
        <c:dLbls>
          <c:dLblPos val="outEnd"/>
          <c:showLegendKey val="0"/>
          <c:showVal val="1"/>
          <c:showCatName val="0"/>
          <c:showSerName val="0"/>
          <c:showPercent val="0"/>
          <c:showBubbleSize val="0"/>
        </c:dLbls>
        <c:gapWidth val="100"/>
        <c:overlap val="-24"/>
        <c:axId val="236906991"/>
        <c:axId val="249151055"/>
      </c:barChart>
      <c:catAx>
        <c:axId val="236906991"/>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49151055"/>
        <c:crosses val="autoZero"/>
        <c:auto val="1"/>
        <c:lblAlgn val="ctr"/>
        <c:lblOffset val="100"/>
        <c:noMultiLvlLbl val="0"/>
      </c:catAx>
      <c:valAx>
        <c:axId val="24915105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3690699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[Excel_Practice_Sales_Beginner.xlsx]Sheet1!PivotTable1</c:name>
    <c:fmtId val="8"/>
  </c:pivotSource>
  <c:chart>
    <c:autoTitleDeleted val="1"/>
    <c:pivotFmts>
      <c:pivotFmt>
        <c:idx val="0"/>
        <c:spPr>
          <a:solidFill>
            <a:schemeClr val="accent2"/>
          </a:solidFill>
          <a:ln>
            <a:noFill/>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marker>
          <c:symbol val="none"/>
        </c:marker>
      </c:pivotFmt>
    </c:pivotFmts>
    <c:plotArea>
      <c:layout/>
      <c:barChart>
        <c:barDir val="col"/>
        <c:grouping val="clustered"/>
        <c:varyColors val="0"/>
        <c:ser>
          <c:idx val="0"/>
          <c:order val="0"/>
          <c:tx>
            <c:strRef>
              <c:f>Sheet1!$B$3</c:f>
              <c:strCache>
                <c:ptCount val="1"/>
                <c:pt idx="0">
                  <c:v>Total</c:v>
                </c:pt>
              </c:strCache>
            </c:strRef>
          </c:tx>
          <c:spPr>
            <a:solidFill>
              <a:schemeClr val="accent2"/>
            </a:solidFill>
            <a:ln>
              <a:noFill/>
            </a:ln>
            <a:effectLst/>
          </c:spPr>
          <c:invertIfNegative val="0"/>
          <c:cat>
            <c:strRef>
              <c:f>Sheet1!$A$4:$A$7</c:f>
              <c:strCache>
                <c:ptCount val="3"/>
                <c:pt idx="0">
                  <c:v>BIG</c:v>
                </c:pt>
                <c:pt idx="1">
                  <c:v>Medium</c:v>
                </c:pt>
                <c:pt idx="2">
                  <c:v>Small</c:v>
                </c:pt>
              </c:strCache>
            </c:strRef>
          </c:cat>
          <c:val>
            <c:numRef>
              <c:f>Sheet1!$B$4:$B$7</c:f>
              <c:numCache>
                <c:formatCode>General</c:formatCode>
                <c:ptCount val="3"/>
                <c:pt idx="0">
                  <c:v>5</c:v>
                </c:pt>
                <c:pt idx="1">
                  <c:v>13</c:v>
                </c:pt>
                <c:pt idx="2">
                  <c:v>15</c:v>
                </c:pt>
              </c:numCache>
            </c:numRef>
          </c:val>
          <c:extLst>
            <c:ext xmlns:c16="http://schemas.microsoft.com/office/drawing/2014/chart" uri="{C3380CC4-5D6E-409C-BE32-E72D297353CC}">
              <c16:uniqueId val="{00000000-1841-41E8-B953-E23559815B62}"/>
            </c:ext>
          </c:extLst>
        </c:ser>
        <c:dLbls>
          <c:showLegendKey val="0"/>
          <c:showVal val="0"/>
          <c:showCatName val="0"/>
          <c:showSerName val="0"/>
          <c:showPercent val="0"/>
          <c:showBubbleSize val="0"/>
        </c:dLbls>
        <c:gapWidth val="219"/>
        <c:overlap val="-27"/>
        <c:axId val="1669100560"/>
        <c:axId val="1603165008"/>
      </c:barChart>
      <c:catAx>
        <c:axId val="16691005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03165008"/>
        <c:crosses val="autoZero"/>
        <c:auto val="1"/>
        <c:lblAlgn val="ctr"/>
        <c:lblOffset val="100"/>
        <c:noMultiLvlLbl val="0"/>
      </c:catAx>
      <c:valAx>
        <c:axId val="160316500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6910056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withinLinear" id="15">
  <a:schemeClr val="accent2"/>
</cs:colorStyle>
</file>

<file path=xl/charts/colors3.xml><?xml version="1.0" encoding="utf-8"?>
<cs:colorStyle xmlns:cs="http://schemas.microsoft.com/office/drawing/2012/chartStyle" xmlns:a="http://schemas.openxmlformats.org/drawingml/2006/main" meth="withinLinear" id="15">
  <a:schemeClr val="accent2"/>
</cs:colorStyle>
</file>

<file path=xl/charts/colors4.xml><?xml version="1.0" encoding="utf-8"?>
<cs:colorStyle xmlns:cs="http://schemas.microsoft.com/office/drawing/2012/chartStyle" xmlns:a="http://schemas.openxmlformats.org/drawingml/2006/main" meth="withinLinearReversed" id="22">
  <a:schemeClr val="accent2"/>
</cs:colorStyle>
</file>

<file path=xl/charts/style1.xml><?xml version="1.0" encoding="utf-8"?>
<cs:chartStyle xmlns:cs="http://schemas.microsoft.com/office/drawing/2012/chartStyle" xmlns:a="http://schemas.openxmlformats.org/drawingml/2006/main" id="254">
  <cs:axisTitle>
    <cs:lnRef idx="0"/>
    <cs:fillRef idx="0"/>
    <cs:effectRef idx="0"/>
    <cs:fontRef idx="minor">
      <a:schemeClr val="tx1">
        <a:lumMod val="50000"/>
        <a:lumOff val="50000"/>
      </a:schemeClr>
    </cs:fontRef>
    <cs:defRPr sz="900" kern="1200" cap="all"/>
  </cs:axisTitle>
  <cs:category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65000"/>
        <a:lumOff val="3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fillRef idx="2">
      <cs:styleClr val="auto"/>
    </cs:fillRef>
    <cs:effectRef idx="1"/>
    <cs:fontRef idx="minor">
      <a:schemeClr val="dk1"/>
    </cs:fontRef>
    <cs:spPr/>
  </cs:dataPoint3D>
  <cs:dataPointLine>
    <cs:lnRef idx="0">
      <cs:styleClr val="auto"/>
    </cs:lnRef>
    <cs:fillRef idx="2">
      <cs:styleClr val="auto"/>
    </cs:fillRef>
    <cs:effectRef idx="1"/>
    <cs:fontRef idx="minor">
      <a:schemeClr val="dk1"/>
    </cs:fontRef>
    <cs:spPr>
      <a:ln w="15875" cap="rnd">
        <a:solidFill>
          <a:schemeClr val="phClr"/>
        </a:solidFill>
        <a:round/>
      </a:ln>
    </cs:spPr>
  </cs:dataPointLine>
  <cs:dataPointMarker>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Marker>
  <cs:dataPointMarkerLayout symbol="circle" size="4"/>
  <cs:dataPointWireframe>
    <cs:lnRef idx="0">
      <cs:styleClr val="auto"/>
    </cs:lnRef>
    <cs:fillRef idx="2"/>
    <cs:effectRef idx="0"/>
    <cs:fontRef idx="minor">
      <a:schemeClr val="dk1"/>
    </cs:fontRef>
    <cs:spPr>
      <a:ln w="9525" cap="rnd">
        <a:solidFill>
          <a:schemeClr val="phClr"/>
        </a:solidFill>
        <a:round/>
      </a:ln>
    </cs:spPr>
  </cs:dataPointWireframe>
  <cs:dataTable>
    <cs:lnRef idx="0"/>
    <cs:fillRef idx="0"/>
    <cs:effectRef idx="0"/>
    <cs:fontRef idx="minor">
      <a:schemeClr val="tx1">
        <a:lumMod val="50000"/>
        <a:lumOff val="50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prstDash val="dash"/>
      </a:ln>
    </cs:spPr>
  </cs:dropLine>
  <cs:errorBar>
    <cs:lnRef idx="0"/>
    <cs:fillRef idx="0"/>
    <cs:effectRef idx="0"/>
    <cs:fontRef idx="minor">
      <a:schemeClr val="dk1"/>
    </cs:fontRef>
    <cs:spPr>
      <a:ln w="9525">
        <a:solidFill>
          <a:schemeClr val="tx1">
            <a:lumMod val="50000"/>
            <a:lumOff val="50000"/>
          </a:schemeClr>
        </a:solidFill>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prstDash val="dash"/>
      </a:ln>
    </cs:spPr>
  </cs:seriesLine>
  <cs:title>
    <cs:lnRef idx="0"/>
    <cs:fillRef idx="0"/>
    <cs:effectRef idx="0"/>
    <cs:fontRef idx="minor">
      <a:schemeClr val="tx1">
        <a:lumMod val="50000"/>
        <a:lumOff val="50000"/>
      </a:schemeClr>
    </cs:fontRef>
    <cs:defRPr sz="1400" kern="1200" cap="none" spc="20" baseline="0"/>
  </cs:title>
  <cs:trendline>
    <cs:lnRef idx="0">
      <cs:styleClr val="auto"/>
    </cs:lnRef>
    <cs:fillRef idx="2"/>
    <cs:effectRef idx="0"/>
    <cs:fontRef idx="minor">
      <a:schemeClr val="dk1"/>
    </cs:fontRef>
    <cs:spPr>
      <a:ln w="9525" cap="rnd">
        <a:solidFill>
          <a:schemeClr val="phClr"/>
        </a:solidFill>
      </a:ln>
    </cs:spPr>
  </cs:trendline>
  <cs:trendlineLabel>
    <cs:lnRef idx="0"/>
    <cs:fillRef idx="0"/>
    <cs:effectRef idx="0"/>
    <cs:fontRef idx="minor">
      <a:schemeClr val="tx1">
        <a:lumMod val="50000"/>
        <a:lumOff val="50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50000"/>
        <a:lumOff val="50000"/>
      </a:schemeClr>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3.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12</xdr:col>
      <xdr:colOff>577670</xdr:colOff>
      <xdr:row>25</xdr:row>
      <xdr:rowOff>21628</xdr:rowOff>
    </xdr:to>
    <xdr:grpSp>
      <xdr:nvGrpSpPr>
        <xdr:cNvPr id="20" name="Group 19">
          <a:extLst>
            <a:ext uri="{FF2B5EF4-FFF2-40B4-BE49-F238E27FC236}">
              <a16:creationId xmlns:a16="http://schemas.microsoft.com/office/drawing/2014/main" id="{78557731-CDFF-5980-3B5E-71EFD5D153E3}"/>
            </a:ext>
          </a:extLst>
        </xdr:cNvPr>
        <xdr:cNvGrpSpPr/>
      </xdr:nvGrpSpPr>
      <xdr:grpSpPr>
        <a:xfrm>
          <a:off x="0" y="0"/>
          <a:ext cx="7928729" cy="4690746"/>
          <a:chOff x="8208" y="0"/>
          <a:chExt cx="7910123" cy="4514553"/>
        </a:xfrm>
      </xdr:grpSpPr>
      <xdr:sp macro="" textlink="">
        <xdr:nvSpPr>
          <xdr:cNvPr id="2" name="Rectangle 1">
            <a:extLst>
              <a:ext uri="{FF2B5EF4-FFF2-40B4-BE49-F238E27FC236}">
                <a16:creationId xmlns:a16="http://schemas.microsoft.com/office/drawing/2014/main" id="{E52DA0C1-D5A1-E831-2254-C6EDC22C17F7}"/>
              </a:ext>
            </a:extLst>
          </xdr:cNvPr>
          <xdr:cNvSpPr/>
        </xdr:nvSpPr>
        <xdr:spPr>
          <a:xfrm>
            <a:off x="14379" y="0"/>
            <a:ext cx="7903952" cy="4514553"/>
          </a:xfrm>
          <a:prstGeom prst="rect">
            <a:avLst/>
          </a:prstGeom>
        </xdr:spPr>
        <xdr:style>
          <a:lnRef idx="2">
            <a:schemeClr val="accent2">
              <a:shade val="15000"/>
            </a:schemeClr>
          </a:lnRef>
          <a:fillRef idx="1">
            <a:schemeClr val="accent2"/>
          </a:fillRef>
          <a:effectRef idx="0">
            <a:schemeClr val="accent2"/>
          </a:effectRef>
          <a:fontRef idx="minor">
            <a:schemeClr val="lt1"/>
          </a:fontRef>
        </xdr:style>
        <xdr:txBody>
          <a:bodyPr vertOverflow="clip" horzOverflow="clip" rtlCol="0" anchor="t"/>
          <a:lstStyle/>
          <a:p>
            <a:pPr algn="l"/>
            <a:endParaRPr lang="en-IN" sz="1100"/>
          </a:p>
        </xdr:txBody>
      </xdr:sp>
      <xdr:sp macro="" textlink="">
        <xdr:nvSpPr>
          <xdr:cNvPr id="3" name="Rectangle 2">
            <a:extLst>
              <a:ext uri="{FF2B5EF4-FFF2-40B4-BE49-F238E27FC236}">
                <a16:creationId xmlns:a16="http://schemas.microsoft.com/office/drawing/2014/main" id="{C0F11D06-5324-ECD8-81B4-3ADCFE590AF2}"/>
              </a:ext>
            </a:extLst>
          </xdr:cNvPr>
          <xdr:cNvSpPr/>
        </xdr:nvSpPr>
        <xdr:spPr>
          <a:xfrm>
            <a:off x="8208" y="0"/>
            <a:ext cx="1887756" cy="4485808"/>
          </a:xfrm>
          <a:prstGeom prst="rect">
            <a:avLst/>
          </a:prstGeom>
        </xdr:spPr>
        <xdr:style>
          <a:lnRef idx="1">
            <a:schemeClr val="accent2"/>
          </a:lnRef>
          <a:fillRef idx="2">
            <a:schemeClr val="accent2"/>
          </a:fillRef>
          <a:effectRef idx="1">
            <a:schemeClr val="accent2"/>
          </a:effectRef>
          <a:fontRef idx="minor">
            <a:schemeClr val="dk1"/>
          </a:fontRef>
        </xdr:style>
        <xdr:txBody>
          <a:bodyPr vertOverflow="clip" horzOverflow="clip" rtlCol="0" anchor="t"/>
          <a:lstStyle/>
          <a:p>
            <a:pPr algn="l"/>
            <a:endParaRPr lang="en-IN" sz="1100"/>
          </a:p>
        </xdr:txBody>
      </xdr:sp>
    </xdr:grpSp>
    <xdr:clientData/>
  </xdr:twoCellAnchor>
  <xdr:twoCellAnchor>
    <xdr:from>
      <xdr:col>0</xdr:col>
      <xdr:colOff>79075</xdr:colOff>
      <xdr:row>0</xdr:row>
      <xdr:rowOff>142193</xdr:rowOff>
    </xdr:from>
    <xdr:to>
      <xdr:col>2</xdr:col>
      <xdr:colOff>560717</xdr:colOff>
      <xdr:row>2</xdr:row>
      <xdr:rowOff>65993</xdr:rowOff>
    </xdr:to>
    <xdr:sp macro="" textlink="'pivot table'!I5">
      <xdr:nvSpPr>
        <xdr:cNvPr id="6" name="TextBox 5">
          <a:extLst>
            <a:ext uri="{FF2B5EF4-FFF2-40B4-BE49-F238E27FC236}">
              <a16:creationId xmlns:a16="http://schemas.microsoft.com/office/drawing/2014/main" id="{E13B005F-B259-238C-4920-F62C226166CA}"/>
            </a:ext>
          </a:extLst>
        </xdr:cNvPr>
        <xdr:cNvSpPr txBox="1"/>
      </xdr:nvSpPr>
      <xdr:spPr>
        <a:xfrm>
          <a:off x="79075" y="142193"/>
          <a:ext cx="1703717" cy="28323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DDA0DBAA-F568-4A27-B67C-957ACDA30A50}" type="TxLink">
            <a:rPr lang="en-US" sz="1600" b="1" i="0" u="none" strike="noStrike">
              <a:solidFill>
                <a:srgbClr val="000000"/>
              </a:solidFill>
              <a:latin typeface="Calibri"/>
              <a:ea typeface="Calibri"/>
              <a:cs typeface="Calibri"/>
            </a:rPr>
            <a:pPr marL="0" indent="0" algn="ctr"/>
            <a:t>📦 Total orders</a:t>
          </a:fld>
          <a:endParaRPr lang="en-IN" sz="1600" b="1" i="0" u="none" strike="noStrike">
            <a:solidFill>
              <a:srgbClr val="000000"/>
            </a:solidFill>
            <a:latin typeface="Calibri"/>
            <a:ea typeface="Calibri"/>
            <a:cs typeface="Calibri"/>
          </a:endParaRPr>
        </a:p>
      </xdr:txBody>
    </xdr:sp>
    <xdr:clientData/>
  </xdr:twoCellAnchor>
  <xdr:twoCellAnchor>
    <xdr:from>
      <xdr:col>0</xdr:col>
      <xdr:colOff>179718</xdr:colOff>
      <xdr:row>14</xdr:row>
      <xdr:rowOff>160020</xdr:rowOff>
    </xdr:from>
    <xdr:to>
      <xdr:col>2</xdr:col>
      <xdr:colOff>524775</xdr:colOff>
      <xdr:row>16</xdr:row>
      <xdr:rowOff>83820</xdr:rowOff>
    </xdr:to>
    <xdr:sp macro="" textlink="'pivot table'!Q4">
      <xdr:nvSpPr>
        <xdr:cNvPr id="7" name="TextBox 6">
          <a:extLst>
            <a:ext uri="{FF2B5EF4-FFF2-40B4-BE49-F238E27FC236}">
              <a16:creationId xmlns:a16="http://schemas.microsoft.com/office/drawing/2014/main" id="{61AA5DE6-0C85-4956-812D-1B17DEAECC2A}"/>
            </a:ext>
          </a:extLst>
        </xdr:cNvPr>
        <xdr:cNvSpPr txBox="1"/>
      </xdr:nvSpPr>
      <xdr:spPr>
        <a:xfrm>
          <a:off x="179718" y="2676058"/>
          <a:ext cx="1567132" cy="28323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95A97515-AB31-4FD0-81A6-50DDC496E456}" type="TxLink">
            <a:rPr lang="en-US" sz="1600" b="1" i="0" u="none" strike="noStrike">
              <a:solidFill>
                <a:srgbClr val="000000"/>
              </a:solidFill>
              <a:latin typeface="Calibri"/>
              <a:ea typeface="Calibri"/>
              <a:cs typeface="Calibri"/>
            </a:rPr>
            <a:pPr marL="0" indent="0" algn="ctr"/>
            <a:t>30875</a:t>
          </a:fld>
          <a:endParaRPr lang="en-IN" sz="1600" b="1" i="0" u="none" strike="noStrike">
            <a:solidFill>
              <a:srgbClr val="000000"/>
            </a:solidFill>
            <a:latin typeface="Calibri"/>
            <a:ea typeface="Calibri"/>
            <a:cs typeface="Calibri"/>
          </a:endParaRPr>
        </a:p>
      </xdr:txBody>
    </xdr:sp>
    <xdr:clientData/>
  </xdr:twoCellAnchor>
  <xdr:twoCellAnchor>
    <xdr:from>
      <xdr:col>0</xdr:col>
      <xdr:colOff>259080</xdr:colOff>
      <xdr:row>2</xdr:row>
      <xdr:rowOff>30480</xdr:rowOff>
    </xdr:from>
    <xdr:to>
      <xdr:col>2</xdr:col>
      <xdr:colOff>596661</xdr:colOff>
      <xdr:row>3</xdr:row>
      <xdr:rowOff>137160</xdr:rowOff>
    </xdr:to>
    <xdr:sp macro="" textlink="'pivot table'!N4">
      <xdr:nvSpPr>
        <xdr:cNvPr id="8" name="TextBox 7">
          <a:extLst>
            <a:ext uri="{FF2B5EF4-FFF2-40B4-BE49-F238E27FC236}">
              <a16:creationId xmlns:a16="http://schemas.microsoft.com/office/drawing/2014/main" id="{4BD4577A-B7CF-4324-822D-0D2F6C3DB8CD}"/>
            </a:ext>
          </a:extLst>
        </xdr:cNvPr>
        <xdr:cNvSpPr txBox="1"/>
      </xdr:nvSpPr>
      <xdr:spPr>
        <a:xfrm>
          <a:off x="259080" y="389914"/>
          <a:ext cx="1559656" cy="28639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4D00CDF2-481F-4894-8FD0-0C1503C10148}" type="TxLink">
            <a:rPr lang="en-US" sz="1600" b="1" i="0" u="none" strike="noStrike">
              <a:solidFill>
                <a:srgbClr val="000000"/>
              </a:solidFill>
              <a:latin typeface="Calibri"/>
              <a:ea typeface="Calibri"/>
              <a:cs typeface="Calibri"/>
            </a:rPr>
            <a:pPr marL="0" indent="0" algn="ctr"/>
            <a:t>40</a:t>
          </a:fld>
          <a:endParaRPr lang="en-US" sz="2400" b="1" i="0" u="none" strike="noStrike">
            <a:solidFill>
              <a:srgbClr val="000000"/>
            </a:solidFill>
            <a:latin typeface="Calibri"/>
            <a:ea typeface="Calibri"/>
            <a:cs typeface="Calibri"/>
          </a:endParaRPr>
        </a:p>
      </xdr:txBody>
    </xdr:sp>
    <xdr:clientData/>
  </xdr:twoCellAnchor>
  <xdr:twoCellAnchor>
    <xdr:from>
      <xdr:col>0</xdr:col>
      <xdr:colOff>14378</xdr:colOff>
      <xdr:row>4</xdr:row>
      <xdr:rowOff>137160</xdr:rowOff>
    </xdr:from>
    <xdr:to>
      <xdr:col>3</xdr:col>
      <xdr:colOff>57511</xdr:colOff>
      <xdr:row>6</xdr:row>
      <xdr:rowOff>60960</xdr:rowOff>
    </xdr:to>
    <xdr:sp macro="" textlink="'pivot table'!J5">
      <xdr:nvSpPr>
        <xdr:cNvPr id="9" name="TextBox 8">
          <a:extLst>
            <a:ext uri="{FF2B5EF4-FFF2-40B4-BE49-F238E27FC236}">
              <a16:creationId xmlns:a16="http://schemas.microsoft.com/office/drawing/2014/main" id="{A7176471-CE2C-47CE-9EA2-4DC43B8FB337}"/>
            </a:ext>
          </a:extLst>
        </xdr:cNvPr>
        <xdr:cNvSpPr txBox="1"/>
      </xdr:nvSpPr>
      <xdr:spPr>
        <a:xfrm>
          <a:off x="14378" y="856028"/>
          <a:ext cx="1876246" cy="28323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F057D4F9-70F6-4114-BAEF-4810D4A55EFF}" type="TxLink">
            <a:rPr lang="en-US" sz="1400" b="1" i="0" u="none" strike="noStrike">
              <a:solidFill>
                <a:srgbClr val="000000"/>
              </a:solidFill>
              <a:latin typeface="Calibri"/>
              <a:ea typeface="Calibri"/>
              <a:cs typeface="Calibri"/>
            </a:rPr>
            <a:pPr marL="0" indent="0" algn="ctr"/>
            <a:t> 💰Total final amount</a:t>
          </a:fld>
          <a:endParaRPr lang="en-IN" sz="1400" b="1" i="0" u="none" strike="noStrike">
            <a:solidFill>
              <a:srgbClr val="000000"/>
            </a:solidFill>
            <a:latin typeface="Calibri"/>
            <a:ea typeface="Calibri"/>
            <a:cs typeface="Calibri"/>
          </a:endParaRPr>
        </a:p>
      </xdr:txBody>
    </xdr:sp>
    <xdr:clientData/>
  </xdr:twoCellAnchor>
  <xdr:twoCellAnchor>
    <xdr:from>
      <xdr:col>0</xdr:col>
      <xdr:colOff>281940</xdr:colOff>
      <xdr:row>6</xdr:row>
      <xdr:rowOff>76200</xdr:rowOff>
    </xdr:from>
    <xdr:to>
      <xdr:col>2</xdr:col>
      <xdr:colOff>517585</xdr:colOff>
      <xdr:row>8</xdr:row>
      <xdr:rowOff>0</xdr:rowOff>
    </xdr:to>
    <xdr:sp macro="" textlink="'pivot table'!O4">
      <xdr:nvSpPr>
        <xdr:cNvPr id="10" name="TextBox 9">
          <a:extLst>
            <a:ext uri="{FF2B5EF4-FFF2-40B4-BE49-F238E27FC236}">
              <a16:creationId xmlns:a16="http://schemas.microsoft.com/office/drawing/2014/main" id="{711390AD-B50B-467D-924A-2630C8529BD0}"/>
            </a:ext>
          </a:extLst>
        </xdr:cNvPr>
        <xdr:cNvSpPr txBox="1"/>
      </xdr:nvSpPr>
      <xdr:spPr>
        <a:xfrm>
          <a:off x="281940" y="1154502"/>
          <a:ext cx="1457720" cy="28323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9E3012B9-6668-4D56-93CA-CDB8D8D15596}" type="TxLink">
            <a:rPr lang="en-US" sz="1600" b="1" i="0" u="none" strike="noStrike">
              <a:solidFill>
                <a:srgbClr val="000000"/>
              </a:solidFill>
              <a:latin typeface="Calibri"/>
              <a:ea typeface="Calibri"/>
              <a:cs typeface="Calibri"/>
            </a:rPr>
            <a:pPr marL="0" indent="0" algn="ctr"/>
            <a:t>249563</a:t>
          </a:fld>
          <a:endParaRPr lang="en-IN" sz="1600" b="1" i="0" u="none" strike="noStrike">
            <a:solidFill>
              <a:srgbClr val="000000"/>
            </a:solidFill>
            <a:latin typeface="Calibri"/>
            <a:ea typeface="Calibri"/>
            <a:cs typeface="Calibri"/>
          </a:endParaRPr>
        </a:p>
      </xdr:txBody>
    </xdr:sp>
    <xdr:clientData/>
  </xdr:twoCellAnchor>
  <xdr:twoCellAnchor>
    <xdr:from>
      <xdr:col>0</xdr:col>
      <xdr:colOff>71887</xdr:colOff>
      <xdr:row>8</xdr:row>
      <xdr:rowOff>175260</xdr:rowOff>
    </xdr:from>
    <xdr:to>
      <xdr:col>2</xdr:col>
      <xdr:colOff>488831</xdr:colOff>
      <xdr:row>10</xdr:row>
      <xdr:rowOff>99060</xdr:rowOff>
    </xdr:to>
    <xdr:sp macro="" textlink="'pivot table'!K5">
      <xdr:nvSpPr>
        <xdr:cNvPr id="11" name="TextBox 10">
          <a:extLst>
            <a:ext uri="{FF2B5EF4-FFF2-40B4-BE49-F238E27FC236}">
              <a16:creationId xmlns:a16="http://schemas.microsoft.com/office/drawing/2014/main" id="{21E18994-EEA3-4B2C-A24D-DECBECB9FC0C}"/>
            </a:ext>
          </a:extLst>
        </xdr:cNvPr>
        <xdr:cNvSpPr txBox="1"/>
      </xdr:nvSpPr>
      <xdr:spPr>
        <a:xfrm>
          <a:off x="71887" y="1612996"/>
          <a:ext cx="1639019" cy="28323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511C4188-FBB3-484B-A01A-A81E98180A1A}" type="TxLink">
            <a:rPr lang="en-US" sz="1600" b="1" i="0" u="none" strike="noStrike">
              <a:solidFill>
                <a:srgbClr val="000000"/>
              </a:solidFill>
              <a:latin typeface="Calibri"/>
              <a:ea typeface="Calibri"/>
              <a:cs typeface="Calibri"/>
            </a:rPr>
            <a:pPr marL="0" indent="0" algn="ctr"/>
            <a:t>📊 Average order</a:t>
          </a:fld>
          <a:endParaRPr lang="en-IN" sz="1600" b="1" i="0" u="none" strike="noStrike">
            <a:solidFill>
              <a:srgbClr val="000000"/>
            </a:solidFill>
            <a:latin typeface="Calibri"/>
            <a:ea typeface="Calibri"/>
            <a:cs typeface="Calibri"/>
          </a:endParaRPr>
        </a:p>
      </xdr:txBody>
    </xdr:sp>
    <xdr:clientData/>
  </xdr:twoCellAnchor>
  <xdr:twoCellAnchor>
    <xdr:from>
      <xdr:col>0</xdr:col>
      <xdr:colOff>220980</xdr:colOff>
      <xdr:row>10</xdr:row>
      <xdr:rowOff>83820</xdr:rowOff>
    </xdr:from>
    <xdr:to>
      <xdr:col>2</xdr:col>
      <xdr:colOff>467265</xdr:colOff>
      <xdr:row>12</xdr:row>
      <xdr:rowOff>7620</xdr:rowOff>
    </xdr:to>
    <xdr:sp macro="" textlink="'pivot table'!P4">
      <xdr:nvSpPr>
        <xdr:cNvPr id="12" name="TextBox 11">
          <a:extLst>
            <a:ext uri="{FF2B5EF4-FFF2-40B4-BE49-F238E27FC236}">
              <a16:creationId xmlns:a16="http://schemas.microsoft.com/office/drawing/2014/main" id="{4F136726-D5E9-4E0B-B8E5-A7A7C4FD9DA8}"/>
            </a:ext>
          </a:extLst>
        </xdr:cNvPr>
        <xdr:cNvSpPr txBox="1"/>
      </xdr:nvSpPr>
      <xdr:spPr>
        <a:xfrm>
          <a:off x="220980" y="1880990"/>
          <a:ext cx="1468360" cy="28323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03DA5D84-4C2E-4C86-80F6-5BC8731230A7}" type="TxLink">
            <a:rPr lang="en-US" sz="1600" b="1" i="0" u="none" strike="noStrike">
              <a:solidFill>
                <a:srgbClr val="000000"/>
              </a:solidFill>
              <a:latin typeface="Calibri"/>
              <a:ea typeface="Calibri"/>
              <a:cs typeface="Calibri"/>
            </a:rPr>
            <a:pPr marL="0" indent="0" algn="ctr"/>
            <a:t>6239</a:t>
          </a:fld>
          <a:endParaRPr lang="en-IN" sz="1600" b="1" i="0" u="none" strike="noStrike">
            <a:solidFill>
              <a:srgbClr val="000000"/>
            </a:solidFill>
            <a:latin typeface="Calibri"/>
            <a:ea typeface="Calibri"/>
            <a:cs typeface="Calibri"/>
          </a:endParaRPr>
        </a:p>
      </xdr:txBody>
    </xdr:sp>
    <xdr:clientData/>
  </xdr:twoCellAnchor>
  <xdr:twoCellAnchor>
    <xdr:from>
      <xdr:col>0</xdr:col>
      <xdr:colOff>93454</xdr:colOff>
      <xdr:row>13</xdr:row>
      <xdr:rowOff>22860</xdr:rowOff>
    </xdr:from>
    <xdr:to>
      <xdr:col>2</xdr:col>
      <xdr:colOff>603851</xdr:colOff>
      <xdr:row>14</xdr:row>
      <xdr:rowOff>129540</xdr:rowOff>
    </xdr:to>
    <xdr:sp macro="" textlink="'pivot table'!L5">
      <xdr:nvSpPr>
        <xdr:cNvPr id="13" name="TextBox 12">
          <a:extLst>
            <a:ext uri="{FF2B5EF4-FFF2-40B4-BE49-F238E27FC236}">
              <a16:creationId xmlns:a16="http://schemas.microsoft.com/office/drawing/2014/main" id="{F0EF9527-B38D-40FC-9B62-D862392FAFAE}"/>
            </a:ext>
          </a:extLst>
        </xdr:cNvPr>
        <xdr:cNvSpPr txBox="1"/>
      </xdr:nvSpPr>
      <xdr:spPr>
        <a:xfrm>
          <a:off x="93454" y="2359181"/>
          <a:ext cx="1732472" cy="28639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8D0183BC-5497-4522-A6F0-26B075D62BAD}" type="TxLink">
            <a:rPr lang="en-US" sz="1600" b="1" i="0" u="none" strike="noStrike">
              <a:solidFill>
                <a:srgbClr val="000000"/>
              </a:solidFill>
              <a:latin typeface="Calibri"/>
              <a:ea typeface="Calibri"/>
              <a:cs typeface="Calibri"/>
            </a:rPr>
            <a:pPr marL="0" indent="0" algn="ctr"/>
            <a:t>🏆 Highest order</a:t>
          </a:fld>
          <a:endParaRPr lang="en-IN" sz="1600" b="1" i="0" u="none" strike="noStrike">
            <a:solidFill>
              <a:srgbClr val="000000"/>
            </a:solidFill>
            <a:latin typeface="Calibri"/>
            <a:ea typeface="Calibri"/>
            <a:cs typeface="Calibri"/>
          </a:endParaRPr>
        </a:p>
      </xdr:txBody>
    </xdr:sp>
    <xdr:clientData/>
  </xdr:twoCellAnchor>
  <xdr:twoCellAnchor editAs="oneCell">
    <xdr:from>
      <xdr:col>0</xdr:col>
      <xdr:colOff>83820</xdr:colOff>
      <xdr:row>17</xdr:row>
      <xdr:rowOff>129540</xdr:rowOff>
    </xdr:from>
    <xdr:to>
      <xdr:col>2</xdr:col>
      <xdr:colOff>594360</xdr:colOff>
      <xdr:row>24</xdr:row>
      <xdr:rowOff>137160</xdr:rowOff>
    </xdr:to>
    <mc:AlternateContent xmlns:mc="http://schemas.openxmlformats.org/markup-compatibility/2006" xmlns:a14="http://schemas.microsoft.com/office/drawing/2010/main">
      <mc:Choice Requires="a14">
        <xdr:graphicFrame macro="">
          <xdr:nvGraphicFramePr>
            <xdr:cNvPr id="14" name="Payment Mode">
              <a:extLst>
                <a:ext uri="{FF2B5EF4-FFF2-40B4-BE49-F238E27FC236}">
                  <a16:creationId xmlns:a16="http://schemas.microsoft.com/office/drawing/2014/main" id="{CCA1C41D-AE82-4A9F-91CA-11E057D34053}"/>
                </a:ext>
              </a:extLst>
            </xdr:cNvPr>
            <xdr:cNvGraphicFramePr/>
          </xdr:nvGraphicFramePr>
          <xdr:xfrm>
            <a:off x="0" y="0"/>
            <a:ext cx="0" cy="0"/>
          </xdr:xfrm>
          <a:graphic>
            <a:graphicData uri="http://schemas.microsoft.com/office/drawing/2010/slicer">
              <sle:slicer xmlns:sle="http://schemas.microsoft.com/office/drawing/2010/slicer" name="Payment Mode"/>
            </a:graphicData>
          </a:graphic>
        </xdr:graphicFrame>
      </mc:Choice>
      <mc:Fallback xmlns="">
        <xdr:sp macro="" textlink="">
          <xdr:nvSpPr>
            <xdr:cNvPr id="0" name=""/>
            <xdr:cNvSpPr>
              <a:spLocks noTextEdit="1"/>
            </xdr:cNvSpPr>
          </xdr:nvSpPr>
          <xdr:spPr>
            <a:xfrm>
              <a:off x="83820" y="3238500"/>
              <a:ext cx="1729740" cy="128778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8</xdr:col>
      <xdr:colOff>14377</xdr:colOff>
      <xdr:row>3</xdr:row>
      <xdr:rowOff>93453</xdr:rowOff>
    </xdr:from>
    <xdr:to>
      <xdr:col>12</xdr:col>
      <xdr:colOff>509677</xdr:colOff>
      <xdr:row>13</xdr:row>
      <xdr:rowOff>172528</xdr:rowOff>
    </xdr:to>
    <xdr:graphicFrame macro="">
      <xdr:nvGraphicFramePr>
        <xdr:cNvPr id="15" name="Chart 14">
          <a:extLst>
            <a:ext uri="{FF2B5EF4-FFF2-40B4-BE49-F238E27FC236}">
              <a16:creationId xmlns:a16="http://schemas.microsoft.com/office/drawing/2014/main" id="{91E6F6AB-05BC-4953-A54E-FD100546D0B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114731</xdr:colOff>
      <xdr:row>3</xdr:row>
      <xdr:rowOff>100641</xdr:rowOff>
    </xdr:from>
    <xdr:to>
      <xdr:col>7</xdr:col>
      <xdr:colOff>603849</xdr:colOff>
      <xdr:row>14</xdr:row>
      <xdr:rowOff>7188</xdr:rowOff>
    </xdr:to>
    <xdr:graphicFrame macro="">
      <xdr:nvGraphicFramePr>
        <xdr:cNvPr id="16" name="Chart 15">
          <a:extLst>
            <a:ext uri="{FF2B5EF4-FFF2-40B4-BE49-F238E27FC236}">
              <a16:creationId xmlns:a16="http://schemas.microsoft.com/office/drawing/2014/main" id="{C433618C-7B2F-473E-84C0-6BA54CA3A68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91440</xdr:colOff>
      <xdr:row>14</xdr:row>
      <xdr:rowOff>64698</xdr:rowOff>
    </xdr:from>
    <xdr:to>
      <xdr:col>7</xdr:col>
      <xdr:colOff>601980</xdr:colOff>
      <xdr:row>25</xdr:row>
      <xdr:rowOff>0</xdr:rowOff>
    </xdr:to>
    <xdr:graphicFrame macro="">
      <xdr:nvGraphicFramePr>
        <xdr:cNvPr id="17" name="Chart 16">
          <a:extLst>
            <a:ext uri="{FF2B5EF4-FFF2-40B4-BE49-F238E27FC236}">
              <a16:creationId xmlns:a16="http://schemas.microsoft.com/office/drawing/2014/main" id="{820E8382-DA09-407A-81EF-8CB9388353D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8</xdr:col>
      <xdr:colOff>15240</xdr:colOff>
      <xdr:row>14</xdr:row>
      <xdr:rowOff>79075</xdr:rowOff>
    </xdr:from>
    <xdr:to>
      <xdr:col>12</xdr:col>
      <xdr:colOff>502920</xdr:colOff>
      <xdr:row>24</xdr:row>
      <xdr:rowOff>175259</xdr:rowOff>
    </xdr:to>
    <xdr:graphicFrame macro="">
      <xdr:nvGraphicFramePr>
        <xdr:cNvPr id="5" name="Chart 4">
          <a:extLst>
            <a:ext uri="{FF2B5EF4-FFF2-40B4-BE49-F238E27FC236}">
              <a16:creationId xmlns:a16="http://schemas.microsoft.com/office/drawing/2014/main" id="{9033F840-98E0-4B53-B4E5-5AA05B70E14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3</xdr:col>
      <xdr:colOff>122208</xdr:colOff>
      <xdr:row>0</xdr:row>
      <xdr:rowOff>50321</xdr:rowOff>
    </xdr:from>
    <xdr:to>
      <xdr:col>12</xdr:col>
      <xdr:colOff>503207</xdr:colOff>
      <xdr:row>2</xdr:row>
      <xdr:rowOff>143774</xdr:rowOff>
    </xdr:to>
    <xdr:sp macro="" textlink="'pivot table'!B2">
      <xdr:nvSpPr>
        <xdr:cNvPr id="21" name="TextBox 20">
          <a:extLst>
            <a:ext uri="{FF2B5EF4-FFF2-40B4-BE49-F238E27FC236}">
              <a16:creationId xmlns:a16="http://schemas.microsoft.com/office/drawing/2014/main" id="{2D86382E-87B6-5C05-ED2A-D37BAB04D05A}"/>
            </a:ext>
          </a:extLst>
        </xdr:cNvPr>
        <xdr:cNvSpPr txBox="1"/>
      </xdr:nvSpPr>
      <xdr:spPr>
        <a:xfrm>
          <a:off x="1955321" y="50321"/>
          <a:ext cx="5880339" cy="452887"/>
        </a:xfrm>
        <a:prstGeom prst="rect">
          <a:avLst/>
        </a:prstGeom>
        <a:ln/>
      </xdr:spPr>
      <xdr:style>
        <a:lnRef idx="1">
          <a:schemeClr val="accent2"/>
        </a:lnRef>
        <a:fillRef idx="2">
          <a:schemeClr val="accent2"/>
        </a:fillRef>
        <a:effectRef idx="1">
          <a:schemeClr val="accent2"/>
        </a:effectRef>
        <a:fontRef idx="minor">
          <a:schemeClr val="dk1"/>
        </a:fontRef>
      </xdr:style>
      <xdr:txBody>
        <a:bodyPr vertOverflow="clip" horzOverflow="clip" wrap="square" rtlCol="0" anchor="t"/>
        <a:lstStyle/>
        <a:p>
          <a:pPr algn="ctr"/>
          <a:fld id="{D310265D-2658-461F-91CA-26C7B9A7B26D}" type="TxLink">
            <a:rPr lang="en-US" sz="2600" b="1" i="0" u="none" strike="noStrike" cap="none" spc="0">
              <a:ln w="6600">
                <a:solidFill>
                  <a:schemeClr val="accent2"/>
                </a:solidFill>
                <a:prstDash val="solid"/>
              </a:ln>
              <a:solidFill>
                <a:srgbClr val="FFFFFF"/>
              </a:solidFill>
              <a:effectLst>
                <a:outerShdw dist="38100" dir="2700000" algn="tl" rotWithShape="0">
                  <a:schemeClr val="accent2"/>
                </a:outerShdw>
              </a:effectLst>
              <a:latin typeface="Calibri"/>
              <a:ea typeface="Calibri"/>
              <a:cs typeface="Calibri"/>
            </a:rPr>
            <a:pPr algn="ctr"/>
            <a:t>Sales Data</a:t>
          </a:fld>
          <a:endParaRPr lang="en-IN" sz="1100" b="1" cap="none" spc="0">
            <a:ln w="6600">
              <a:solidFill>
                <a:schemeClr val="accent2"/>
              </a:solidFill>
              <a:prstDash val="solid"/>
            </a:ln>
            <a:solidFill>
              <a:srgbClr val="FFFFFF"/>
            </a:solidFill>
            <a:effectLst>
              <a:outerShdw dist="38100" dir="2700000" algn="tl" rotWithShape="0">
                <a:schemeClr val="accent2"/>
              </a:outerShdw>
            </a:effectLst>
          </a:endParaRP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Priyanka Saini" refreshedDate="46289.571446180555" createdVersion="8" refreshedVersion="8" minRefreshableVersion="3" recordCount="40">
  <cacheSource type="worksheet">
    <worksheetSource ref="A1:R41" sheet="Sales Data"/>
  </cacheSource>
  <cacheFields count="20">
    <cacheField name="Order ID" numFmtId="0">
      <sharedItems count="40">
        <s v="ORD-031"/>
        <s v="ORD-039"/>
        <s v="ORD-034"/>
        <s v="ORD-040"/>
        <s v="ORD-008"/>
        <s v="ORD-007"/>
        <s v="ORD-010"/>
        <s v="ORD-002"/>
        <s v="ORD-035"/>
        <s v="ORD-033"/>
        <s v="ORD-005"/>
        <s v="ORD-001"/>
        <s v="ORD-015"/>
        <s v="ORD-020"/>
        <s v="ORD-024"/>
        <s v="ORD-016"/>
        <s v="ORD-022"/>
        <s v="ORD-027"/>
        <s v="ORD-023"/>
        <s v="ORD-006"/>
        <s v="ORD-003"/>
        <s v="ORD-019"/>
        <s v="ORD-014"/>
        <s v="ORD-037"/>
        <s v="ORD-026"/>
        <s v="ORD-032"/>
        <s v="ORD-038"/>
        <s v="ORD-021"/>
        <s v="ORD-011"/>
        <s v="ORD-018"/>
        <s v="ORD-004"/>
        <s v="ORD-036"/>
        <s v="ORD-013"/>
        <s v="ORD-029"/>
        <s v="ORD-030"/>
        <s v="ORD-025"/>
        <s v="ORD-028"/>
        <s v="ORD-017"/>
        <s v="ORD-009"/>
        <s v="ORD-012"/>
      </sharedItems>
    </cacheField>
    <cacheField name="Order Date" numFmtId="164">
      <sharedItems containsSemiMixedTypes="0" containsNonDate="0" containsDate="1" containsString="0" minDate="2026-01-01T00:00:00" maxDate="2026-06-22T00:00:00" count="36">
        <d v="2026-06-17T00:00:00"/>
        <d v="2026-01-18T00:00:00"/>
        <d v="2026-05-19T00:00:00"/>
        <d v="2026-05-29T00:00:00"/>
        <d v="2026-02-19T00:00:00"/>
        <d v="2026-02-01T00:00:00"/>
        <d v="2026-06-21T00:00:00"/>
        <d v="2026-06-01T00:00:00"/>
        <d v="2026-02-24T00:00:00"/>
        <d v="2026-04-29T00:00:00"/>
        <d v="2026-03-13T00:00:00"/>
        <d v="2026-03-12T00:00:00"/>
        <d v="2026-04-13T00:00:00"/>
        <d v="2026-05-10T00:00:00"/>
        <d v="2026-06-05T00:00:00"/>
        <d v="2026-01-13T00:00:00"/>
        <d v="2026-03-03T00:00:00"/>
        <d v="2026-06-11T00:00:00"/>
        <d v="2026-05-17T00:00:00"/>
        <d v="2026-04-02T00:00:00"/>
        <d v="2026-06-04T00:00:00"/>
        <d v="2026-01-01T00:00:00"/>
        <d v="2026-02-05T00:00:00"/>
        <d v="2026-01-15T00:00:00"/>
        <d v="2026-03-28T00:00:00"/>
        <d v="2026-05-30T00:00:00"/>
        <d v="2026-05-18T00:00:00"/>
        <d v="2026-04-18T00:00:00"/>
        <d v="2026-04-27T00:00:00"/>
        <d v="2026-03-22T00:00:00"/>
        <d v="2026-05-02T00:00:00"/>
        <d v="2026-04-21T00:00:00"/>
        <d v="2026-06-16T00:00:00"/>
        <d v="2026-03-02T00:00:00"/>
        <d v="2026-04-08T00:00:00"/>
        <d v="2026-01-09T00:00:00"/>
      </sharedItems>
      <fieldGroup par="19"/>
    </cacheField>
    <cacheField name="Customer Name" numFmtId="0">
      <sharedItems/>
    </cacheField>
    <cacheField name="City" numFmtId="0">
      <sharedItems count="5">
        <s v="Delhi"/>
        <s v="Gurugram"/>
        <s v="Jaipur"/>
        <s v="Mumbai"/>
        <s v="Pune"/>
      </sharedItems>
    </cacheField>
    <cacheField name="Category" numFmtId="0">
      <sharedItems count="3">
        <s v="Furniture"/>
        <s v="Electronics"/>
        <s v="Stationery"/>
      </sharedItems>
    </cacheField>
    <cacheField name="Product" numFmtId="0">
      <sharedItems/>
    </cacheField>
    <cacheField name="Quantity" numFmtId="0">
      <sharedItems containsSemiMixedTypes="0" containsString="0" containsNumber="1" containsInteger="1" minValue="1" maxValue="29"/>
    </cacheField>
    <cacheField name="Unit Price" numFmtId="165">
      <sharedItems containsSemiMixedTypes="0" containsString="0" containsNumber="1" containsInteger="1" minValue="60" maxValue="9500"/>
    </cacheField>
    <cacheField name="Discount %" numFmtId="9">
      <sharedItems containsSemiMixedTypes="0" containsString="0" containsNumber="1" minValue="0" maxValue="0.1"/>
    </cacheField>
    <cacheField name="Payment Mode" numFmtId="0">
      <sharedItems count="3">
        <s v="Cash"/>
        <s v="Card"/>
        <s v="UPI"/>
      </sharedItems>
    </cacheField>
    <cacheField name="Clean Name" numFmtId="0">
      <sharedItems/>
    </cacheField>
    <cacheField name="Order No" numFmtId="0">
      <sharedItems count="40">
        <s v="031"/>
        <s v="039"/>
        <s v="034"/>
        <s v="040"/>
        <s v="008"/>
        <s v="007"/>
        <s v="010"/>
        <s v="002"/>
        <s v="035"/>
        <s v="033"/>
        <s v="005"/>
        <s v="001"/>
        <s v="015"/>
        <s v="020"/>
        <s v="024"/>
        <s v="016"/>
        <s v="022"/>
        <s v="027"/>
        <s v="023"/>
        <s v="006"/>
        <s v="003"/>
        <s v="019"/>
        <s v="014"/>
        <s v="037"/>
        <s v="026"/>
        <s v="032"/>
        <s v="038"/>
        <s v="021"/>
        <s v="011"/>
        <s v="018"/>
        <s v="004"/>
        <s v="036"/>
        <s v="013"/>
        <s v="029"/>
        <s v="030"/>
        <s v="025"/>
        <s v="028"/>
        <s v="017"/>
        <s v="009"/>
        <s v="012"/>
      </sharedItems>
    </cacheField>
    <cacheField name="Total Amount" numFmtId="0">
      <sharedItems containsSemiMixedTypes="0" containsString="0" containsNumber="1" containsInteger="1" minValue="360" maxValue="32500"/>
    </cacheField>
    <cacheField name="Discount Amount" numFmtId="0">
      <sharedItems containsSemiMixedTypes="0" containsString="0" containsNumber="1" containsInteger="1" minValue="0" maxValue="2850"/>
    </cacheField>
    <cacheField name="Final Amount" numFmtId="0">
      <sharedItems containsSemiMixedTypes="0" containsString="0" containsNumber="1" containsInteger="1" minValue="360" maxValue="30875"/>
    </cacheField>
    <cacheField name="Order Size" numFmtId="0">
      <sharedItems containsBlank="1" count="4">
        <s v="BIG"/>
        <s v="Medium"/>
        <s v="Small"/>
        <m/>
      </sharedItems>
    </cacheField>
    <cacheField name="Month" numFmtId="0">
      <sharedItems/>
    </cacheField>
    <cacheField name="weeday" numFmtId="0">
      <sharedItems/>
    </cacheField>
    <cacheField name="Days (Order Date)" numFmtId="0" databaseField="0">
      <fieldGroup base="1">
        <rangePr groupBy="days" startDate="2026-01-01T00:00:00" endDate="2026-06-22T00:00:00"/>
        <groupItems count="368">
          <s v="&lt;01-01-2026"/>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22-06-2026"/>
        </groupItems>
      </fieldGroup>
    </cacheField>
    <cacheField name="Months (Order Date)" numFmtId="0" databaseField="0">
      <fieldGroup base="1">
        <rangePr groupBy="months" startDate="2026-01-01T00:00:00" endDate="2026-06-22T00:00:00"/>
        <groupItems count="14">
          <s v="&lt;01-01-2026"/>
          <s v="Jan"/>
          <s v="Feb"/>
          <s v="Mar"/>
          <s v="Apr"/>
          <s v="May"/>
          <s v="Jun"/>
          <s v="Jul"/>
          <s v="Aug"/>
          <s v="Sep"/>
          <s v="Oct"/>
          <s v="Nov"/>
          <s v="Dec"/>
          <s v="&gt;22-06-2026"/>
        </groupItems>
      </fieldGroup>
    </cacheField>
  </cacheFields>
  <extLst>
    <ext xmlns:x14="http://schemas.microsoft.com/office/spreadsheetml/2009/9/main" uri="{725AE2AE-9491-48be-B2B4-4EB974FC3084}">
      <x14:pivotCacheDefinition pivotCacheId="1270077160"/>
    </ext>
    <ext xmlns:xlpdsc="http://schemas.microsoft.com/office/spreadsheetml/2026/pivotDataSourceClean" uri="{F4336242-56EE-4DD3-A5F7-E900642BF6E9}">
      <xlpdsc:dataSourceClean>1</xlpdsc:dataSourceClea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0">
  <r>
    <x v="0"/>
    <x v="0"/>
    <s v="PRIYA VERMA"/>
    <x v="0"/>
    <x v="0"/>
    <s v="Office Chair"/>
    <n v="6"/>
    <n v="4500"/>
    <n v="0.1"/>
    <x v="0"/>
    <s v="Priya Verma"/>
    <x v="0"/>
    <n v="27000"/>
    <n v="2700"/>
    <n v="24300"/>
    <x v="0"/>
    <s v="June"/>
    <s v="Wednesday"/>
  </r>
  <r>
    <x v="1"/>
    <x v="1"/>
    <s v="ARJUN REDDY"/>
    <x v="0"/>
    <x v="0"/>
    <s v="Office Chair"/>
    <n v="2"/>
    <n v="4500"/>
    <n v="0"/>
    <x v="1"/>
    <s v="Arjun Reddy"/>
    <x v="1"/>
    <n v="9000"/>
    <n v="0"/>
    <n v="9000"/>
    <x v="1"/>
    <s v="January"/>
    <s v="Sunday"/>
  </r>
  <r>
    <x v="2"/>
    <x v="2"/>
    <s v="  Rahul Sharma "/>
    <x v="0"/>
    <x v="1"/>
    <s v="Headphones"/>
    <n v="6"/>
    <n v="1500"/>
    <n v="0"/>
    <x v="2"/>
    <s v="Rahul Sharma"/>
    <x v="2"/>
    <n v="9000"/>
    <n v="0"/>
    <n v="9000"/>
    <x v="1"/>
    <s v="May"/>
    <s v="Tuesday"/>
  </r>
  <r>
    <x v="3"/>
    <x v="3"/>
    <s v="ARJUN REDDY"/>
    <x v="0"/>
    <x v="1"/>
    <s v="Webcam"/>
    <n v="2"/>
    <n v="2200"/>
    <n v="0"/>
    <x v="1"/>
    <s v="Arjun Reddy"/>
    <x v="3"/>
    <n v="4400"/>
    <n v="0"/>
    <n v="4400"/>
    <x v="1"/>
    <s v="May"/>
    <s v="Friday"/>
  </r>
  <r>
    <x v="4"/>
    <x v="4"/>
    <s v="PRIYA VERMA"/>
    <x v="0"/>
    <x v="0"/>
    <s v="Desk Lamp"/>
    <n v="5"/>
    <n v="800"/>
    <n v="0"/>
    <x v="1"/>
    <s v="Priya Verma"/>
    <x v="4"/>
    <n v="4000"/>
    <n v="0"/>
    <n v="4000"/>
    <x v="1"/>
    <s v="February"/>
    <s v="Thursday"/>
  </r>
  <r>
    <x v="5"/>
    <x v="5"/>
    <s v="SNEHA IYER"/>
    <x v="0"/>
    <x v="0"/>
    <s v="Desk Lamp"/>
    <n v="5"/>
    <n v="800"/>
    <n v="0.05"/>
    <x v="0"/>
    <s v="Sneha Iyer"/>
    <x v="5"/>
    <n v="4000"/>
    <n v="200"/>
    <n v="3800"/>
    <x v="1"/>
    <s v="February"/>
    <s v="Sunday"/>
  </r>
  <r>
    <x v="6"/>
    <x v="6"/>
    <s v="  Neha Gupta "/>
    <x v="0"/>
    <x v="2"/>
    <s v="Stapler"/>
    <n v="11"/>
    <n v="250"/>
    <n v="0"/>
    <x v="0"/>
    <s v="Neha Gupta"/>
    <x v="6"/>
    <n v="2750"/>
    <n v="0"/>
    <n v="2750"/>
    <x v="2"/>
    <s v="June"/>
    <s v="Sunday"/>
  </r>
  <r>
    <x v="7"/>
    <x v="7"/>
    <s v="  Sneha Iyer "/>
    <x v="0"/>
    <x v="1"/>
    <s v="Webcam"/>
    <n v="1"/>
    <n v="2200"/>
    <n v="0"/>
    <x v="2"/>
    <s v="Sneha Iyer"/>
    <x v="7"/>
    <n v="2200"/>
    <n v="0"/>
    <n v="2200"/>
    <x v="2"/>
    <s v="June"/>
    <s v="Monday"/>
  </r>
  <r>
    <x v="8"/>
    <x v="8"/>
    <s v="SNEHA IYER"/>
    <x v="0"/>
    <x v="2"/>
    <s v="File Folder"/>
    <n v="20"/>
    <n v="90"/>
    <n v="0"/>
    <x v="1"/>
    <s v="Sneha Iyer"/>
    <x v="8"/>
    <n v="1800"/>
    <n v="0"/>
    <n v="1800"/>
    <x v="2"/>
    <s v="February"/>
    <s v="Tuesday"/>
  </r>
  <r>
    <x v="9"/>
    <x v="9"/>
    <s v="vikram mehta"/>
    <x v="0"/>
    <x v="2"/>
    <s v="Pen Box"/>
    <n v="13"/>
    <n v="120"/>
    <n v="0.1"/>
    <x v="0"/>
    <s v="Vikram Mehta"/>
    <x v="9"/>
    <n v="1560"/>
    <n v="156"/>
    <n v="1404"/>
    <x v="2"/>
    <s v="April"/>
    <s v="Wednesday"/>
  </r>
  <r>
    <x v="10"/>
    <x v="10"/>
    <s v="anita singh"/>
    <x v="1"/>
    <x v="1"/>
    <s v="Monitor"/>
    <n v="3"/>
    <n v="9500"/>
    <n v="0.05"/>
    <x v="2"/>
    <s v="Anita Singh"/>
    <x v="10"/>
    <n v="28500"/>
    <n v="1425"/>
    <n v="27075"/>
    <x v="0"/>
    <s v="March"/>
    <s v="Friday"/>
  </r>
  <r>
    <x v="11"/>
    <x v="11"/>
    <s v="vikram mehta"/>
    <x v="1"/>
    <x v="0"/>
    <s v="Office Chair"/>
    <n v="1"/>
    <n v="4500"/>
    <n v="0"/>
    <x v="0"/>
    <s v="Vikram Mehta"/>
    <x v="11"/>
    <n v="4500"/>
    <n v="0"/>
    <n v="4500"/>
    <x v="1"/>
    <s v="March"/>
    <s v="Thursday"/>
  </r>
  <r>
    <x v="12"/>
    <x v="12"/>
    <s v="AMIT KUMAR"/>
    <x v="1"/>
    <x v="0"/>
    <s v="Desk Lamp"/>
    <n v="5"/>
    <n v="800"/>
    <n v="0"/>
    <x v="0"/>
    <s v="Amit Kumar"/>
    <x v="12"/>
    <n v="4000"/>
    <n v="0"/>
    <n v="4000"/>
    <x v="1"/>
    <s v="April"/>
    <s v="Monday"/>
  </r>
  <r>
    <x v="13"/>
    <x v="13"/>
    <s v="ARJUN REDDY"/>
    <x v="1"/>
    <x v="1"/>
    <s v="Mouse"/>
    <n v="6"/>
    <n v="500"/>
    <n v="0"/>
    <x v="1"/>
    <s v="Arjun Reddy"/>
    <x v="13"/>
    <n v="3000"/>
    <n v="0"/>
    <n v="3000"/>
    <x v="1"/>
    <s v="May"/>
    <s v="Sunday"/>
  </r>
  <r>
    <x v="14"/>
    <x v="14"/>
    <s v="SNEHA IYER"/>
    <x v="1"/>
    <x v="1"/>
    <s v="Mouse"/>
    <n v="5"/>
    <n v="500"/>
    <n v="0"/>
    <x v="0"/>
    <s v="Sneha Iyer"/>
    <x v="14"/>
    <n v="2500"/>
    <n v="0"/>
    <n v="2500"/>
    <x v="2"/>
    <s v="June"/>
    <s v="Friday"/>
  </r>
  <r>
    <x v="15"/>
    <x v="15"/>
    <s v="PRIYA VERMA"/>
    <x v="1"/>
    <x v="2"/>
    <s v="Notebook"/>
    <n v="29"/>
    <n v="60"/>
    <n v="0"/>
    <x v="0"/>
    <s v="Priya Verma"/>
    <x v="15"/>
    <n v="1740"/>
    <n v="0"/>
    <n v="1740"/>
    <x v="2"/>
    <s v="January"/>
    <s v="Tuesday"/>
  </r>
  <r>
    <x v="16"/>
    <x v="16"/>
    <s v="  Rahul Sharma "/>
    <x v="1"/>
    <x v="1"/>
    <s v="Mouse"/>
    <n v="3"/>
    <n v="500"/>
    <n v="0"/>
    <x v="2"/>
    <s v="Rahul Sharma"/>
    <x v="16"/>
    <n v="1500"/>
    <n v="0"/>
    <n v="1500"/>
    <x v="2"/>
    <s v="March"/>
    <s v="Tuesday"/>
  </r>
  <r>
    <x v="17"/>
    <x v="17"/>
    <s v="RAHUL SHARMA"/>
    <x v="1"/>
    <x v="1"/>
    <s v="Headphones"/>
    <n v="1"/>
    <n v="1500"/>
    <n v="0"/>
    <x v="2"/>
    <s v="Rahul Sharma"/>
    <x v="17"/>
    <n v="1500"/>
    <n v="0"/>
    <n v="1500"/>
    <x v="2"/>
    <s v="June"/>
    <s v="Thursday"/>
  </r>
  <r>
    <x v="18"/>
    <x v="18"/>
    <s v="anita singh"/>
    <x v="1"/>
    <x v="0"/>
    <s v="Desk Lamp"/>
    <n v="1"/>
    <n v="800"/>
    <n v="0.1"/>
    <x v="0"/>
    <s v="Anita Singh"/>
    <x v="18"/>
    <n v="800"/>
    <n v="80"/>
    <n v="720"/>
    <x v="2"/>
    <s v="May"/>
    <s v="Sunday"/>
  </r>
  <r>
    <x v="19"/>
    <x v="19"/>
    <s v="  Amit Kumar "/>
    <x v="2"/>
    <x v="1"/>
    <s v="Monitor"/>
    <n v="1"/>
    <n v="9500"/>
    <n v="0.05"/>
    <x v="2"/>
    <s v="Amit Kumar"/>
    <x v="19"/>
    <n v="9500"/>
    <n v="475"/>
    <n v="9025"/>
    <x v="1"/>
    <s v="April"/>
    <s v="Thursday"/>
  </r>
  <r>
    <x v="20"/>
    <x v="20"/>
    <s v="RAHUL SHARMA"/>
    <x v="2"/>
    <x v="1"/>
    <s v="Keyboard"/>
    <n v="5"/>
    <n v="900"/>
    <n v="0"/>
    <x v="0"/>
    <s v="Rahul Sharma"/>
    <x v="20"/>
    <n v="4500"/>
    <n v="0"/>
    <n v="4500"/>
    <x v="1"/>
    <s v="June"/>
    <s v="Thursday"/>
  </r>
  <r>
    <x v="21"/>
    <x v="21"/>
    <s v="NEHA GUPTA"/>
    <x v="2"/>
    <x v="2"/>
    <s v="Pen Box"/>
    <n v="19"/>
    <n v="120"/>
    <n v="0"/>
    <x v="0"/>
    <s v="Neha Gupta"/>
    <x v="21"/>
    <n v="2280"/>
    <n v="0"/>
    <n v="2280"/>
    <x v="2"/>
    <s v="January"/>
    <s v="Thursday"/>
  </r>
  <r>
    <x v="22"/>
    <x v="22"/>
    <s v="  Vikram Mehta "/>
    <x v="2"/>
    <x v="2"/>
    <s v="Pen Box"/>
    <n v="13"/>
    <n v="120"/>
    <n v="0.05"/>
    <x v="0"/>
    <s v="Vikram Mehta"/>
    <x v="22"/>
    <n v="1560"/>
    <n v="78"/>
    <n v="1482"/>
    <x v="2"/>
    <s v="February"/>
    <s v="Thursday"/>
  </r>
  <r>
    <x v="23"/>
    <x v="23"/>
    <s v="ARJUN REDDY"/>
    <x v="2"/>
    <x v="1"/>
    <s v="Mouse"/>
    <n v="2"/>
    <n v="500"/>
    <n v="0"/>
    <x v="0"/>
    <s v="Arjun Reddy"/>
    <x v="23"/>
    <n v="1000"/>
    <n v="0"/>
    <n v="1000"/>
    <x v="2"/>
    <s v="January"/>
    <s v="Thursday"/>
  </r>
  <r>
    <x v="24"/>
    <x v="24"/>
    <s v="  Rahul Sharma "/>
    <x v="2"/>
    <x v="1"/>
    <s v="Keyboard"/>
    <n v="1"/>
    <n v="900"/>
    <n v="0"/>
    <x v="0"/>
    <s v="Rahul Sharma"/>
    <x v="24"/>
    <n v="900"/>
    <n v="0"/>
    <n v="900"/>
    <x v="2"/>
    <s v="March"/>
    <s v="Saturday"/>
  </r>
  <r>
    <x v="25"/>
    <x v="4"/>
    <s v="vikram mehta"/>
    <x v="2"/>
    <x v="2"/>
    <s v="Notebook"/>
    <n v="12"/>
    <n v="60"/>
    <n v="0.1"/>
    <x v="2"/>
    <s v="Vikram Mehta"/>
    <x v="25"/>
    <n v="720"/>
    <n v="72"/>
    <n v="648"/>
    <x v="2"/>
    <s v="February"/>
    <s v="Thursday"/>
  </r>
  <r>
    <x v="26"/>
    <x v="25"/>
    <s v="  Rohit Jain "/>
    <x v="2"/>
    <x v="2"/>
    <s v="Notebook"/>
    <n v="6"/>
    <n v="60"/>
    <n v="0"/>
    <x v="2"/>
    <s v="Rohit Jain"/>
    <x v="26"/>
    <n v="360"/>
    <n v="0"/>
    <n v="360"/>
    <x v="2"/>
    <s v="May"/>
    <s v="Saturday"/>
  </r>
  <r>
    <x v="27"/>
    <x v="21"/>
    <s v="ARJUN REDDY"/>
    <x v="3"/>
    <x v="1"/>
    <s v="Webcam"/>
    <n v="5"/>
    <n v="2200"/>
    <n v="0.1"/>
    <x v="2"/>
    <s v="Arjun Reddy"/>
    <x v="27"/>
    <n v="11000"/>
    <n v="1100"/>
    <n v="9900"/>
    <x v="1"/>
    <s v="January"/>
    <s v="Thursday"/>
  </r>
  <r>
    <x v="28"/>
    <x v="9"/>
    <s v="SNEHA IYER"/>
    <x v="3"/>
    <x v="0"/>
    <s v="Office Chair"/>
    <n v="2"/>
    <n v="4500"/>
    <n v="0"/>
    <x v="0"/>
    <s v="Sneha Iyer"/>
    <x v="28"/>
    <n v="9000"/>
    <n v="0"/>
    <n v="9000"/>
    <x v="1"/>
    <s v="April"/>
    <s v="Wednesday"/>
  </r>
  <r>
    <x v="29"/>
    <x v="26"/>
    <s v="  Neha Gupta "/>
    <x v="3"/>
    <x v="1"/>
    <s v="Headphones"/>
    <n v="6"/>
    <n v="1500"/>
    <n v="0"/>
    <x v="1"/>
    <s v="Neha Gupta"/>
    <x v="29"/>
    <n v="9000"/>
    <n v="0"/>
    <n v="9000"/>
    <x v="1"/>
    <s v="May"/>
    <s v="Monday"/>
  </r>
  <r>
    <x v="30"/>
    <x v="27"/>
    <s v="vikram mehta"/>
    <x v="4"/>
    <x v="0"/>
    <s v="Bookshelf"/>
    <n v="5"/>
    <n v="6500"/>
    <n v="0.05"/>
    <x v="2"/>
    <s v="Vikram Mehta"/>
    <x v="30"/>
    <n v="32500"/>
    <n v="1625"/>
    <n v="30875"/>
    <x v="0"/>
    <s v="April"/>
    <s v="Saturday"/>
  </r>
  <r>
    <x v="31"/>
    <x v="28"/>
    <s v="NEHA GUPTA"/>
    <x v="4"/>
    <x v="1"/>
    <s v="Monitor"/>
    <n v="3"/>
    <n v="9500"/>
    <n v="0.1"/>
    <x v="2"/>
    <s v="Neha Gupta"/>
    <x v="31"/>
    <n v="28500"/>
    <n v="2850"/>
    <n v="25650"/>
    <x v="0"/>
    <s v="April"/>
    <s v="Monday"/>
  </r>
  <r>
    <x v="32"/>
    <x v="29"/>
    <s v="vikram mehta"/>
    <x v="4"/>
    <x v="1"/>
    <s v="Webcam"/>
    <n v="6"/>
    <n v="2200"/>
    <n v="0.1"/>
    <x v="0"/>
    <s v="Vikram Mehta"/>
    <x v="32"/>
    <n v="13200"/>
    <n v="1320"/>
    <n v="11880"/>
    <x v="0"/>
    <s v="March"/>
    <s v="Sunday"/>
  </r>
  <r>
    <x v="33"/>
    <x v="30"/>
    <s v="vikram mehta"/>
    <x v="4"/>
    <x v="1"/>
    <s v="Webcam"/>
    <n v="5"/>
    <n v="2200"/>
    <n v="0.1"/>
    <x v="2"/>
    <s v="Vikram Mehta"/>
    <x v="33"/>
    <n v="11000"/>
    <n v="1100"/>
    <n v="9900"/>
    <x v="3"/>
    <s v="May"/>
    <s v="Saturday"/>
  </r>
  <r>
    <x v="34"/>
    <x v="31"/>
    <s v="  Amit Kumar "/>
    <x v="4"/>
    <x v="1"/>
    <s v="Headphones"/>
    <n v="6"/>
    <n v="1500"/>
    <n v="0.1"/>
    <x v="1"/>
    <s v="Amit Kumar"/>
    <x v="34"/>
    <n v="9000"/>
    <n v="900"/>
    <n v="8100"/>
    <x v="3"/>
    <s v="April"/>
    <s v="Tuesday"/>
  </r>
  <r>
    <x v="35"/>
    <x v="32"/>
    <s v="AMIT KUMAR"/>
    <x v="4"/>
    <x v="2"/>
    <s v="File Folder"/>
    <n v="26"/>
    <n v="90"/>
    <n v="0.1"/>
    <x v="2"/>
    <s v="Amit Kumar"/>
    <x v="35"/>
    <n v="2340"/>
    <n v="234"/>
    <n v="2106"/>
    <x v="3"/>
    <s v="June"/>
    <s v="Tuesday"/>
  </r>
  <r>
    <x v="36"/>
    <x v="33"/>
    <s v="NEHA GUPTA"/>
    <x v="4"/>
    <x v="2"/>
    <s v="Notebook"/>
    <n v="21"/>
    <n v="60"/>
    <n v="0"/>
    <x v="0"/>
    <s v="Neha Gupta"/>
    <x v="36"/>
    <n v="1260"/>
    <n v="0"/>
    <n v="1260"/>
    <x v="3"/>
    <s v="March"/>
    <s v="Monday"/>
  </r>
  <r>
    <x v="37"/>
    <x v="34"/>
    <s v="ARJUN REDDY"/>
    <x v="4"/>
    <x v="2"/>
    <s v="Notebook"/>
    <n v="17"/>
    <n v="60"/>
    <n v="0.05"/>
    <x v="0"/>
    <s v="Arjun Reddy"/>
    <x v="37"/>
    <n v="1020"/>
    <n v="51"/>
    <n v="969"/>
    <x v="3"/>
    <s v="April"/>
    <s v="Wednesday"/>
  </r>
  <r>
    <x v="38"/>
    <x v="34"/>
    <s v="NEHA GUPTA"/>
    <x v="4"/>
    <x v="1"/>
    <s v="Keyboard"/>
    <n v="1"/>
    <n v="900"/>
    <n v="0.05"/>
    <x v="2"/>
    <s v="Neha Gupta"/>
    <x v="38"/>
    <n v="900"/>
    <n v="45"/>
    <n v="855"/>
    <x v="3"/>
    <s v="April"/>
    <s v="Wednesday"/>
  </r>
  <r>
    <x v="39"/>
    <x v="35"/>
    <s v="AMIT KUMAR"/>
    <x v="4"/>
    <x v="2"/>
    <s v="Notebook"/>
    <n v="12"/>
    <n v="60"/>
    <n v="0.05"/>
    <x v="2"/>
    <s v="Amit Kumar"/>
    <x v="39"/>
    <n v="720"/>
    <n v="36"/>
    <n v="684"/>
    <x v="3"/>
    <s v="January"/>
    <s v="Friday"/>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5" cacheId="0" applyNumberFormats="0" applyBorderFormats="0" applyFontFormats="0" applyPatternFormats="0" applyAlignmentFormats="0" applyWidthHeightFormats="1" dataCaption="Values" updatedVersion="6" minRefreshableVersion="3" useAutoFormatting="1" itemPrintTitles="1" createdVersion="8" indent="0" outline="1" outlineData="1" multipleFieldFilters="0" chartFormat="22">
  <location ref="D10:E14" firstHeaderRow="1" firstDataRow="1" firstDataCol="1"/>
  <pivotFields count="20">
    <pivotField dataField="1" showAll="0">
      <items count="41">
        <item x="11"/>
        <item x="7"/>
        <item x="20"/>
        <item x="30"/>
        <item x="10"/>
        <item x="19"/>
        <item x="5"/>
        <item x="4"/>
        <item x="38"/>
        <item x="6"/>
        <item x="28"/>
        <item x="39"/>
        <item x="32"/>
        <item x="22"/>
        <item x="12"/>
        <item x="15"/>
        <item x="37"/>
        <item x="29"/>
        <item x="21"/>
        <item x="13"/>
        <item x="27"/>
        <item x="16"/>
        <item x="18"/>
        <item x="14"/>
        <item x="35"/>
        <item x="24"/>
        <item x="17"/>
        <item x="36"/>
        <item x="33"/>
        <item x="34"/>
        <item x="0"/>
        <item x="25"/>
        <item x="9"/>
        <item x="2"/>
        <item x="8"/>
        <item x="31"/>
        <item x="23"/>
        <item x="26"/>
        <item x="1"/>
        <item x="3"/>
        <item t="default"/>
      </items>
    </pivotField>
    <pivotField numFmtId="164" showAll="0">
      <items count="37">
        <item x="21"/>
        <item x="35"/>
        <item x="15"/>
        <item x="23"/>
        <item x="1"/>
        <item x="5"/>
        <item x="22"/>
        <item x="4"/>
        <item x="8"/>
        <item x="33"/>
        <item x="16"/>
        <item x="11"/>
        <item x="10"/>
        <item x="29"/>
        <item x="24"/>
        <item x="19"/>
        <item x="34"/>
        <item x="12"/>
        <item x="27"/>
        <item x="31"/>
        <item x="28"/>
        <item x="9"/>
        <item x="30"/>
        <item x="13"/>
        <item x="18"/>
        <item x="26"/>
        <item x="2"/>
        <item x="3"/>
        <item x="25"/>
        <item x="7"/>
        <item x="20"/>
        <item x="14"/>
        <item x="17"/>
        <item x="32"/>
        <item x="0"/>
        <item x="6"/>
        <item t="default"/>
      </items>
    </pivotField>
    <pivotField showAll="0"/>
    <pivotField showAll="0">
      <items count="6">
        <item x="0"/>
        <item x="1"/>
        <item x="2"/>
        <item x="3"/>
        <item x="4"/>
        <item t="default"/>
      </items>
    </pivotField>
    <pivotField showAll="0">
      <items count="4">
        <item x="1"/>
        <item x="0"/>
        <item x="2"/>
        <item t="default"/>
      </items>
    </pivotField>
    <pivotField showAll="0"/>
    <pivotField showAll="0"/>
    <pivotField numFmtId="165" showAll="0"/>
    <pivotField numFmtId="9" showAll="0"/>
    <pivotField axis="axisRow" showAll="0">
      <items count="4">
        <item x="1"/>
        <item x="0"/>
        <item x="2"/>
        <item t="default"/>
      </items>
    </pivotField>
    <pivotField showAll="0"/>
    <pivotField showAll="0">
      <items count="41">
        <item x="11"/>
        <item x="7"/>
        <item x="20"/>
        <item x="30"/>
        <item x="10"/>
        <item x="19"/>
        <item x="5"/>
        <item x="4"/>
        <item x="38"/>
        <item x="6"/>
        <item x="28"/>
        <item x="39"/>
        <item x="32"/>
        <item x="22"/>
        <item x="12"/>
        <item x="15"/>
        <item x="37"/>
        <item x="29"/>
        <item x="21"/>
        <item x="13"/>
        <item x="27"/>
        <item x="16"/>
        <item x="18"/>
        <item x="14"/>
        <item x="35"/>
        <item x="24"/>
        <item x="17"/>
        <item x="36"/>
        <item x="33"/>
        <item x="34"/>
        <item x="0"/>
        <item x="25"/>
        <item x="9"/>
        <item x="2"/>
        <item x="8"/>
        <item x="31"/>
        <item x="23"/>
        <item x="26"/>
        <item x="1"/>
        <item x="3"/>
        <item t="default"/>
      </items>
    </pivotField>
    <pivotField showAll="0"/>
    <pivotField showAll="0"/>
    <pivotField showAll="0"/>
    <pivotField showAll="0"/>
    <pivotField showAll="0"/>
    <pivotField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s>
  <rowFields count="1">
    <field x="9"/>
  </rowFields>
  <rowItems count="4">
    <i>
      <x/>
    </i>
    <i>
      <x v="1"/>
    </i>
    <i>
      <x v="2"/>
    </i>
    <i t="grand">
      <x/>
    </i>
  </rowItems>
  <colItems count="1">
    <i/>
  </colItems>
  <dataFields count="1">
    <dataField name="Count of Order ID" fld="0" subtotal="count" baseField="0" baseItem="0"/>
  </dataFields>
  <chartFormats count="1">
    <chartFormat chart="17" format="6"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name="PivotTable4" cacheId="0" applyNumberFormats="0" applyBorderFormats="0" applyFontFormats="0" applyPatternFormats="0" applyAlignmentFormats="0" applyWidthHeightFormats="1" dataCaption="Values" updatedVersion="6" minRefreshableVersion="3" useAutoFormatting="1" itemPrintTitles="1" createdVersion="8" indent="0" outline="1" outlineData="1" multipleFieldFilters="0">
  <location ref="I3:L4" firstHeaderRow="0" firstDataRow="1" firstDataCol="0"/>
  <pivotFields count="20">
    <pivotField dataField="1" showAll="0">
      <items count="41">
        <item x="11"/>
        <item x="7"/>
        <item x="20"/>
        <item x="30"/>
        <item x="10"/>
        <item x="19"/>
        <item x="5"/>
        <item x="4"/>
        <item x="38"/>
        <item x="6"/>
        <item x="28"/>
        <item x="39"/>
        <item x="32"/>
        <item x="22"/>
        <item x="12"/>
        <item x="15"/>
        <item x="37"/>
        <item x="29"/>
        <item x="21"/>
        <item x="13"/>
        <item x="27"/>
        <item x="16"/>
        <item x="18"/>
        <item x="14"/>
        <item x="35"/>
        <item x="24"/>
        <item x="17"/>
        <item x="36"/>
        <item x="33"/>
        <item x="34"/>
        <item x="0"/>
        <item x="25"/>
        <item x="9"/>
        <item x="2"/>
        <item x="8"/>
        <item x="31"/>
        <item x="23"/>
        <item x="26"/>
        <item x="1"/>
        <item x="3"/>
        <item t="default"/>
      </items>
    </pivotField>
    <pivotField numFmtId="164" showAll="0">
      <items count="37">
        <item x="21"/>
        <item x="35"/>
        <item x="15"/>
        <item x="23"/>
        <item x="1"/>
        <item x="5"/>
        <item x="22"/>
        <item x="4"/>
        <item x="8"/>
        <item x="33"/>
        <item x="16"/>
        <item x="11"/>
        <item x="10"/>
        <item x="29"/>
        <item x="24"/>
        <item x="19"/>
        <item x="34"/>
        <item x="12"/>
        <item x="27"/>
        <item x="31"/>
        <item x="28"/>
        <item x="9"/>
        <item x="30"/>
        <item x="13"/>
        <item x="18"/>
        <item x="26"/>
        <item x="2"/>
        <item x="3"/>
        <item x="25"/>
        <item x="7"/>
        <item x="20"/>
        <item x="14"/>
        <item x="17"/>
        <item x="32"/>
        <item x="0"/>
        <item x="6"/>
        <item t="default"/>
      </items>
    </pivotField>
    <pivotField showAll="0"/>
    <pivotField showAll="0">
      <items count="6">
        <item x="0"/>
        <item x="1"/>
        <item x="2"/>
        <item x="3"/>
        <item x="4"/>
        <item t="default"/>
      </items>
    </pivotField>
    <pivotField showAll="0">
      <items count="4">
        <item x="1"/>
        <item x="0"/>
        <item x="2"/>
        <item t="default"/>
      </items>
    </pivotField>
    <pivotField showAll="0"/>
    <pivotField showAll="0"/>
    <pivotField numFmtId="165" showAll="0"/>
    <pivotField numFmtId="9" showAll="0"/>
    <pivotField showAll="0">
      <items count="4">
        <item x="1"/>
        <item x="0"/>
        <item x="2"/>
        <item t="default"/>
      </items>
    </pivotField>
    <pivotField showAll="0"/>
    <pivotField showAll="0">
      <items count="41">
        <item x="11"/>
        <item x="7"/>
        <item x="20"/>
        <item x="30"/>
        <item x="10"/>
        <item x="19"/>
        <item x="5"/>
        <item x="4"/>
        <item x="38"/>
        <item x="6"/>
        <item x="28"/>
        <item x="39"/>
        <item x="32"/>
        <item x="22"/>
        <item x="12"/>
        <item x="15"/>
        <item x="37"/>
        <item x="29"/>
        <item x="21"/>
        <item x="13"/>
        <item x="27"/>
        <item x="16"/>
        <item x="18"/>
        <item x="14"/>
        <item x="35"/>
        <item x="24"/>
        <item x="17"/>
        <item x="36"/>
        <item x="33"/>
        <item x="34"/>
        <item x="0"/>
        <item x="25"/>
        <item x="9"/>
        <item x="2"/>
        <item x="8"/>
        <item x="31"/>
        <item x="23"/>
        <item x="26"/>
        <item x="1"/>
        <item x="3"/>
        <item t="default"/>
      </items>
    </pivotField>
    <pivotField showAll="0"/>
    <pivotField showAll="0"/>
    <pivotField dataField="1" showAll="0"/>
    <pivotField showAll="0"/>
    <pivotField showAll="0"/>
    <pivotField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s>
  <rowItems count="1">
    <i/>
  </rowItems>
  <colFields count="1">
    <field x="-2"/>
  </colFields>
  <colItems count="4">
    <i>
      <x/>
    </i>
    <i i="1">
      <x v="1"/>
    </i>
    <i i="2">
      <x v="2"/>
    </i>
    <i i="3">
      <x v="3"/>
    </i>
  </colItems>
  <dataFields count="4">
    <dataField name="Count of Order ID" fld="0" subtotal="count" baseField="0" baseItem="0" numFmtId="1"/>
    <dataField name="Sum of Final Amount" fld="14" baseField="0" baseItem="0"/>
    <dataField name="Average of Final Amount2" fld="14" subtotal="average" baseField="0" baseItem="0" numFmtId="1"/>
    <dataField name="Max of Final Amount2" fld="14" subtotal="max" baseField="0" baseItem="0"/>
  </dataFields>
  <formats count="2">
    <format dxfId="5">
      <pivotArea outline="0" collapsedLevelsAreSubtotals="1" fieldPosition="0">
        <references count="1">
          <reference field="4294967294" count="1" selected="0">
            <x v="0"/>
          </reference>
        </references>
      </pivotArea>
    </format>
    <format dxfId="4">
      <pivotArea outline="0" collapsedLevelsAreSubtotals="1" fieldPosition="0">
        <references count="1">
          <reference field="4294967294" count="1" selected="0">
            <x v="2"/>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name="PivotTable3" cacheId="0" applyNumberFormats="0" applyBorderFormats="0" applyFontFormats="0" applyPatternFormats="0" applyAlignmentFormats="0" applyWidthHeightFormats="1" dataCaption="Values" updatedVersion="6" minRefreshableVersion="3" useAutoFormatting="1" itemPrintTitles="1" createdVersion="8" indent="0" outline="1" outlineData="1" multipleFieldFilters="0" chartFormat="21">
  <location ref="A26:B30" firstHeaderRow="1" firstDataRow="1" firstDataCol="1"/>
  <pivotFields count="20">
    <pivotField showAll="0"/>
    <pivotField numFmtId="164" showAll="0">
      <items count="37">
        <item x="21"/>
        <item x="35"/>
        <item x="15"/>
        <item x="23"/>
        <item x="1"/>
        <item x="5"/>
        <item x="22"/>
        <item x="4"/>
        <item x="8"/>
        <item x="33"/>
        <item x="16"/>
        <item x="11"/>
        <item x="10"/>
        <item x="29"/>
        <item x="24"/>
        <item x="19"/>
        <item x="34"/>
        <item x="12"/>
        <item x="27"/>
        <item x="31"/>
        <item x="28"/>
        <item x="9"/>
        <item x="30"/>
        <item x="13"/>
        <item x="18"/>
        <item x="26"/>
        <item x="2"/>
        <item x="3"/>
        <item x="25"/>
        <item x="7"/>
        <item x="20"/>
        <item x="14"/>
        <item x="17"/>
        <item x="32"/>
        <item x="0"/>
        <item x="6"/>
        <item t="default"/>
      </items>
    </pivotField>
    <pivotField showAll="0"/>
    <pivotField showAll="0">
      <items count="6">
        <item x="0"/>
        <item x="1"/>
        <item x="2"/>
        <item x="3"/>
        <item x="4"/>
        <item t="default"/>
      </items>
    </pivotField>
    <pivotField axis="axisRow" showAll="0">
      <items count="4">
        <item x="1"/>
        <item x="0"/>
        <item x="2"/>
        <item t="default"/>
      </items>
    </pivotField>
    <pivotField showAll="0"/>
    <pivotField showAll="0"/>
    <pivotField numFmtId="165" showAll="0"/>
    <pivotField numFmtId="9" showAll="0"/>
    <pivotField showAll="0">
      <items count="4">
        <item x="1"/>
        <item x="0"/>
        <item x="2"/>
        <item t="default"/>
      </items>
    </pivotField>
    <pivotField showAll="0"/>
    <pivotField showAll="0"/>
    <pivotField showAll="0"/>
    <pivotField showAll="0"/>
    <pivotField dataField="1" showAll="0"/>
    <pivotField showAll="0"/>
    <pivotField showAll="0"/>
    <pivotField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s>
  <rowFields count="1">
    <field x="4"/>
  </rowFields>
  <rowItems count="4">
    <i>
      <x/>
    </i>
    <i>
      <x v="1"/>
    </i>
    <i>
      <x v="2"/>
    </i>
    <i t="grand">
      <x/>
    </i>
  </rowItems>
  <colItems count="1">
    <i/>
  </colItems>
  <dataFields count="1">
    <dataField name="Sum of Final Amount" fld="14" baseField="0" baseItem="0"/>
  </dataFields>
  <chartFormats count="4">
    <chartFormat chart="17" format="5" series="1">
      <pivotArea type="data" outline="0" fieldPosition="0">
        <references count="1">
          <reference field="4294967294" count="1" selected="0">
            <x v="0"/>
          </reference>
        </references>
      </pivotArea>
    </chartFormat>
    <chartFormat chart="17" format="6">
      <pivotArea type="data" outline="0" fieldPosition="0">
        <references count="2">
          <reference field="4294967294" count="1" selected="0">
            <x v="0"/>
          </reference>
          <reference field="4" count="1" selected="0">
            <x v="0"/>
          </reference>
        </references>
      </pivotArea>
    </chartFormat>
    <chartFormat chart="17" format="7">
      <pivotArea type="data" outline="0" fieldPosition="0">
        <references count="2">
          <reference field="4294967294" count="1" selected="0">
            <x v="0"/>
          </reference>
          <reference field="4" count="1" selected="0">
            <x v="1"/>
          </reference>
        </references>
      </pivotArea>
    </chartFormat>
    <chartFormat chart="17" format="8">
      <pivotArea type="data" outline="0" fieldPosition="0">
        <references count="2">
          <reference field="4294967294" count="1" selected="0">
            <x v="0"/>
          </reference>
          <reference field="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name="PivotTable2" cacheId="0" applyNumberFormats="0" applyBorderFormats="0" applyFontFormats="0" applyPatternFormats="0" applyAlignmentFormats="0" applyWidthHeightFormats="1" dataCaption="Values" updatedVersion="6" minRefreshableVersion="3" useAutoFormatting="1" itemPrintTitles="1" createdVersion="8" indent="0" outline="1" outlineData="1" multipleFieldFilters="0" chartFormat="7">
  <location ref="A10:B16" firstHeaderRow="1" firstDataRow="1" firstDataCol="1"/>
  <pivotFields count="20">
    <pivotField showAll="0"/>
    <pivotField numFmtId="164" showAll="0">
      <items count="37">
        <item x="21"/>
        <item x="35"/>
        <item x="15"/>
        <item x="23"/>
        <item x="1"/>
        <item x="5"/>
        <item x="22"/>
        <item x="4"/>
        <item x="8"/>
        <item x="33"/>
        <item x="16"/>
        <item x="11"/>
        <item x="10"/>
        <item x="29"/>
        <item x="24"/>
        <item x="19"/>
        <item x="34"/>
        <item x="12"/>
        <item x="27"/>
        <item x="31"/>
        <item x="28"/>
        <item x="9"/>
        <item x="30"/>
        <item x="13"/>
        <item x="18"/>
        <item x="26"/>
        <item x="2"/>
        <item x="3"/>
        <item x="25"/>
        <item x="7"/>
        <item x="20"/>
        <item x="14"/>
        <item x="17"/>
        <item x="32"/>
        <item x="0"/>
        <item x="6"/>
        <item t="default"/>
      </items>
    </pivotField>
    <pivotField showAll="0"/>
    <pivotField axis="axisRow" showAll="0">
      <items count="6">
        <item x="0"/>
        <item x="1"/>
        <item x="2"/>
        <item x="3"/>
        <item x="4"/>
        <item t="default"/>
      </items>
    </pivotField>
    <pivotField showAll="0">
      <items count="4">
        <item x="1"/>
        <item x="0"/>
        <item x="2"/>
        <item t="default"/>
      </items>
    </pivotField>
    <pivotField showAll="0"/>
    <pivotField showAll="0"/>
    <pivotField numFmtId="165" showAll="0"/>
    <pivotField numFmtId="9" showAll="0"/>
    <pivotField showAll="0">
      <items count="4">
        <item x="1"/>
        <item x="0"/>
        <item x="2"/>
        <item t="default"/>
      </items>
    </pivotField>
    <pivotField showAll="0"/>
    <pivotField showAll="0"/>
    <pivotField showAll="0"/>
    <pivotField showAll="0"/>
    <pivotField dataField="1" showAll="0"/>
    <pivotField showAll="0"/>
    <pivotField showAll="0"/>
    <pivotField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s>
  <rowFields count="1">
    <field x="3"/>
  </rowFields>
  <rowItems count="6">
    <i>
      <x/>
    </i>
    <i>
      <x v="1"/>
    </i>
    <i>
      <x v="2"/>
    </i>
    <i>
      <x v="3"/>
    </i>
    <i>
      <x v="4"/>
    </i>
    <i t="grand">
      <x/>
    </i>
  </rowItems>
  <colItems count="1">
    <i/>
  </colItems>
  <dataFields count="1">
    <dataField name="Sum of Final Amount" fld="14" baseField="0" baseItem="0"/>
  </dataFields>
  <chartFormats count="1">
    <chartFormat chart="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name="PivotTable1" cacheId="0" applyNumberFormats="0" applyBorderFormats="0" applyFontFormats="0" applyPatternFormats="0" applyAlignmentFormats="0" applyWidthHeightFormats="1" dataCaption="Values" updatedVersion="6" minRefreshableVersion="3" useAutoFormatting="1" itemPrintTitles="1" createdVersion="8" indent="0" outline="1" outlineData="1" multipleFieldFilters="0" chartFormat="9">
  <location ref="A3:B7" firstHeaderRow="1" firstDataRow="1" firstDataCol="1"/>
  <pivotFields count="20">
    <pivotField dataField="1" showAll="0"/>
    <pivotField numFmtId="164" showAll="0">
      <items count="37">
        <item x="21"/>
        <item x="35"/>
        <item x="15"/>
        <item x="23"/>
        <item x="1"/>
        <item x="5"/>
        <item x="22"/>
        <item x="4"/>
        <item x="8"/>
        <item x="33"/>
        <item x="16"/>
        <item x="11"/>
        <item x="10"/>
        <item x="29"/>
        <item x="24"/>
        <item x="19"/>
        <item x="34"/>
        <item x="12"/>
        <item x="27"/>
        <item x="31"/>
        <item x="28"/>
        <item x="9"/>
        <item x="30"/>
        <item x="13"/>
        <item x="18"/>
        <item x="26"/>
        <item x="2"/>
        <item x="3"/>
        <item x="25"/>
        <item x="7"/>
        <item x="20"/>
        <item x="14"/>
        <item x="17"/>
        <item x="32"/>
        <item x="0"/>
        <item x="6"/>
        <item t="default"/>
      </items>
    </pivotField>
    <pivotField showAll="0"/>
    <pivotField showAll="0"/>
    <pivotField showAll="0"/>
    <pivotField showAll="0"/>
    <pivotField showAll="0"/>
    <pivotField numFmtId="165" showAll="0"/>
    <pivotField numFmtId="9" showAll="0"/>
    <pivotField showAll="0">
      <items count="4">
        <item x="1"/>
        <item x="0"/>
        <item x="2"/>
        <item t="default"/>
      </items>
    </pivotField>
    <pivotField showAll="0"/>
    <pivotField showAll="0"/>
    <pivotField showAll="0"/>
    <pivotField showAll="0"/>
    <pivotField showAll="0"/>
    <pivotField axis="axisRow" showAll="0">
      <items count="5">
        <item x="0"/>
        <item x="1"/>
        <item x="2"/>
        <item h="1" x="3"/>
        <item t="default"/>
      </items>
    </pivotField>
    <pivotField showAll="0"/>
    <pivotField showAll="0"/>
    <pivotField showAll="0" defaultSubtotal="0"/>
    <pivotField showAll="0" defaultSubtotal="0">
      <items count="14">
        <item x="0"/>
        <item x="1"/>
        <item x="2"/>
        <item x="3"/>
        <item x="4"/>
        <item x="5"/>
        <item x="6"/>
        <item x="7"/>
        <item x="8"/>
        <item x="9"/>
        <item x="10"/>
        <item x="11"/>
        <item x="12"/>
        <item x="13"/>
      </items>
    </pivotField>
  </pivotFields>
  <rowFields count="1">
    <field x="15"/>
  </rowFields>
  <rowItems count="4">
    <i>
      <x/>
    </i>
    <i>
      <x v="1"/>
    </i>
    <i>
      <x v="2"/>
    </i>
    <i t="grand">
      <x/>
    </i>
  </rowItems>
  <colItems count="1">
    <i/>
  </colItems>
  <dataFields count="1">
    <dataField name="Count of Order ID" fld="0" subtotal="count" baseField="0" baseItem="0"/>
  </dataFields>
  <chartFormats count="3">
    <chartFormat chart="0" format="0" series="1">
      <pivotArea type="data" outline="0" fieldPosition="0">
        <references count="1">
          <reference field="4294967294" count="1" selected="0">
            <x v="0"/>
          </reference>
        </references>
      </pivotArea>
    </chartFormat>
    <chartFormat chart="7" format="1"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Payment_Mode" sourceName="Payment Mode">
  <pivotTables>
    <pivotTable tabId="5" name="PivotTable2"/>
    <pivotTable tabId="5" name="PivotTable3"/>
    <pivotTable tabId="5" name="PivotTable4"/>
    <pivotTable tabId="5" name="PivotTable5"/>
    <pivotTable tabId="9" name="PivotTable1"/>
  </pivotTables>
  <data>
    <tabular pivotCacheId="1270077160">
      <items count="3">
        <i x="1" s="1"/>
        <i x="0"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Payment Mode" cache="Slicer_Payment_Mode" caption="Payment Mode" style="SlicerStyleLight2"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pivotTable" Target="../pivotTables/pivotTable4.xml"/></Relationships>
</file>

<file path=xl/worksheets/_rels/sheet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5.xm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Q30"/>
  <sheetViews>
    <sheetView topLeftCell="D1" workbookViewId="0">
      <selection activeCell="P4" sqref="P4"/>
    </sheetView>
  </sheetViews>
  <sheetFormatPr defaultRowHeight="14.5" x14ac:dyDescent="0.35"/>
  <cols>
    <col min="1" max="1" width="12.36328125" customWidth="1"/>
    <col min="2" max="2" width="18.453125" customWidth="1"/>
    <col min="3" max="3" width="16.90625" customWidth="1"/>
    <col min="4" max="4" width="12.36328125" customWidth="1"/>
    <col min="5" max="5" width="15.81640625" customWidth="1"/>
    <col min="6" max="6" width="9.1796875" customWidth="1"/>
    <col min="7" max="7" width="6.6328125" customWidth="1"/>
    <col min="8" max="8" width="10.81640625" bestFit="1" customWidth="1"/>
    <col min="9" max="9" width="15.81640625" customWidth="1"/>
    <col min="10" max="10" width="18.453125" customWidth="1"/>
    <col min="11" max="11" width="22.6328125" customWidth="1"/>
    <col min="12" max="12" width="19.453125" customWidth="1"/>
    <col min="13" max="13" width="18" customWidth="1"/>
    <col min="14" max="16" width="10.81640625" customWidth="1"/>
    <col min="17" max="17" width="9.90625" customWidth="1"/>
    <col min="18" max="44" width="4" bestFit="1" customWidth="1"/>
    <col min="45" max="45" width="10.81640625" bestFit="1" customWidth="1"/>
  </cols>
  <sheetData>
    <row r="2" spans="1:17" ht="33.5" x14ac:dyDescent="0.75">
      <c r="B2" s="20" t="s">
        <v>114</v>
      </c>
    </row>
    <row r="3" spans="1:17" x14ac:dyDescent="0.35">
      <c r="I3" t="s">
        <v>108</v>
      </c>
      <c r="J3" t="s">
        <v>107</v>
      </c>
      <c r="K3" t="s">
        <v>109</v>
      </c>
      <c r="L3" t="s">
        <v>110</v>
      </c>
    </row>
    <row r="4" spans="1:17" x14ac:dyDescent="0.35">
      <c r="I4" s="17">
        <v>40</v>
      </c>
      <c r="J4" s="21">
        <v>249563</v>
      </c>
      <c r="K4" s="17">
        <v>6239.0749999999998</v>
      </c>
      <c r="L4" s="21">
        <v>30875</v>
      </c>
      <c r="N4" s="17">
        <f>I4</f>
        <v>40</v>
      </c>
      <c r="O4" s="17">
        <f t="shared" ref="O4:Q4" si="0">J4</f>
        <v>249563</v>
      </c>
      <c r="P4" s="17">
        <f t="shared" si="0"/>
        <v>6239.0749999999998</v>
      </c>
      <c r="Q4" s="17">
        <f t="shared" si="0"/>
        <v>30875</v>
      </c>
    </row>
    <row r="5" spans="1:17" x14ac:dyDescent="0.35">
      <c r="I5" s="18" t="s">
        <v>115</v>
      </c>
      <c r="J5" s="18" t="s">
        <v>118</v>
      </c>
      <c r="K5" s="18" t="s">
        <v>116</v>
      </c>
      <c r="L5" s="18" t="s">
        <v>117</v>
      </c>
    </row>
    <row r="6" spans="1:17" x14ac:dyDescent="0.35">
      <c r="I6" s="19">
        <v>40</v>
      </c>
      <c r="J6" s="18">
        <v>249563</v>
      </c>
      <c r="K6" s="19">
        <v>6239.0749999999998</v>
      </c>
      <c r="L6" s="18">
        <v>30875</v>
      </c>
    </row>
    <row r="10" spans="1:17" x14ac:dyDescent="0.35">
      <c r="A10" s="15" t="s">
        <v>105</v>
      </c>
      <c r="B10" t="s">
        <v>107</v>
      </c>
      <c r="D10" s="15" t="s">
        <v>105</v>
      </c>
      <c r="E10" t="s">
        <v>108</v>
      </c>
    </row>
    <row r="11" spans="1:17" x14ac:dyDescent="0.35">
      <c r="A11" s="16" t="s">
        <v>33</v>
      </c>
      <c r="B11" s="21">
        <v>62654</v>
      </c>
      <c r="D11" s="16" t="s">
        <v>38</v>
      </c>
      <c r="E11" s="21">
        <v>7</v>
      </c>
    </row>
    <row r="12" spans="1:17" x14ac:dyDescent="0.35">
      <c r="A12" s="16" t="s">
        <v>29</v>
      </c>
      <c r="B12" s="21">
        <v>46535</v>
      </c>
      <c r="D12" s="16" t="s">
        <v>22</v>
      </c>
      <c r="E12" s="21">
        <v>18</v>
      </c>
    </row>
    <row r="13" spans="1:17" x14ac:dyDescent="0.35">
      <c r="A13" s="16" t="s">
        <v>41</v>
      </c>
      <c r="B13" s="21">
        <v>20195</v>
      </c>
      <c r="D13" s="16" t="s">
        <v>26</v>
      </c>
      <c r="E13" s="21">
        <v>15</v>
      </c>
    </row>
    <row r="14" spans="1:17" x14ac:dyDescent="0.35">
      <c r="A14" s="16" t="s">
        <v>25</v>
      </c>
      <c r="B14" s="21">
        <v>27900</v>
      </c>
      <c r="D14" s="16" t="s">
        <v>106</v>
      </c>
      <c r="E14" s="21">
        <v>40</v>
      </c>
    </row>
    <row r="15" spans="1:17" x14ac:dyDescent="0.35">
      <c r="A15" s="16" t="s">
        <v>19</v>
      </c>
      <c r="B15" s="21">
        <v>92279</v>
      </c>
    </row>
    <row r="16" spans="1:17" x14ac:dyDescent="0.35">
      <c r="A16" s="16" t="s">
        <v>106</v>
      </c>
      <c r="B16" s="21">
        <v>249563</v>
      </c>
    </row>
    <row r="26" spans="1:2" x14ac:dyDescent="0.35">
      <c r="A26" s="15" t="s">
        <v>105</v>
      </c>
      <c r="B26" t="s">
        <v>107</v>
      </c>
    </row>
    <row r="27" spans="1:2" x14ac:dyDescent="0.35">
      <c r="A27" s="16" t="s">
        <v>20</v>
      </c>
      <c r="B27" s="21">
        <v>141885</v>
      </c>
    </row>
    <row r="28" spans="1:2" x14ac:dyDescent="0.35">
      <c r="A28" s="16" t="s">
        <v>36</v>
      </c>
      <c r="B28" s="21">
        <v>90195</v>
      </c>
    </row>
    <row r="29" spans="1:2" x14ac:dyDescent="0.35">
      <c r="A29" s="16" t="s">
        <v>30</v>
      </c>
      <c r="B29" s="21">
        <v>17483</v>
      </c>
    </row>
    <row r="30" spans="1:2" x14ac:dyDescent="0.35">
      <c r="A30" s="16" t="s">
        <v>106</v>
      </c>
      <c r="B30" s="21">
        <v>249563</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tabSelected="1" zoomScale="85" zoomScaleNormal="85" workbookViewId="0">
      <selection activeCell="U2" sqref="U2"/>
    </sheetView>
  </sheetViews>
  <sheetFormatPr defaultRowHeight="14.5" x14ac:dyDescent="0.35"/>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B7"/>
  <sheetViews>
    <sheetView workbookViewId="0">
      <selection activeCell="D29" sqref="D29"/>
    </sheetView>
  </sheetViews>
  <sheetFormatPr defaultRowHeight="14.5" x14ac:dyDescent="0.35"/>
  <cols>
    <col min="1" max="1" width="12.36328125" customWidth="1"/>
    <col min="2" max="2" width="15.81640625" customWidth="1"/>
  </cols>
  <sheetData>
    <row r="3" spans="1:2" x14ac:dyDescent="0.35">
      <c r="A3" s="15" t="s">
        <v>105</v>
      </c>
      <c r="B3" t="s">
        <v>108</v>
      </c>
    </row>
    <row r="4" spans="1:2" x14ac:dyDescent="0.35">
      <c r="A4" s="16" t="s">
        <v>111</v>
      </c>
      <c r="B4" s="21">
        <v>5</v>
      </c>
    </row>
    <row r="5" spans="1:2" x14ac:dyDescent="0.35">
      <c r="A5" s="16" t="s">
        <v>112</v>
      </c>
      <c r="B5" s="21">
        <v>13</v>
      </c>
    </row>
    <row r="6" spans="1:2" x14ac:dyDescent="0.35">
      <c r="A6" s="16" t="s">
        <v>113</v>
      </c>
      <c r="B6" s="21">
        <v>15</v>
      </c>
    </row>
    <row r="7" spans="1:2" x14ac:dyDescent="0.35">
      <c r="A7" s="16" t="s">
        <v>106</v>
      </c>
      <c r="B7" s="21">
        <v>33</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R41"/>
  <sheetViews>
    <sheetView workbookViewId="0">
      <pane ySplit="1" topLeftCell="A2" activePane="bottomLeft" state="frozen"/>
      <selection pane="bottomLeft" activeCell="P48" sqref="P48"/>
    </sheetView>
  </sheetViews>
  <sheetFormatPr defaultRowHeight="14.5" x14ac:dyDescent="0.35"/>
  <cols>
    <col min="1" max="1" width="11" customWidth="1"/>
    <col min="2" max="2" width="20" style="2" customWidth="1"/>
    <col min="3" max="3" width="20" customWidth="1"/>
    <col min="4" max="4" width="11" customWidth="1"/>
    <col min="5" max="5" width="13" customWidth="1"/>
    <col min="6" max="6" width="14" customWidth="1"/>
    <col min="7" max="7" width="10" customWidth="1"/>
    <col min="8" max="8" width="11" customWidth="1"/>
    <col min="9" max="9" width="13.54296875" customWidth="1"/>
    <col min="10" max="10" width="15" customWidth="1"/>
    <col min="11" max="11" width="18" customWidth="1"/>
    <col min="12" max="12" width="11.453125" customWidth="1"/>
    <col min="13" max="13" width="16.08984375" customWidth="1"/>
    <col min="14" max="14" width="19.6328125" customWidth="1"/>
    <col min="15" max="15" width="14" customWidth="1"/>
    <col min="16" max="16" width="12" customWidth="1"/>
    <col min="17" max="17" width="10" customWidth="1"/>
    <col min="18" max="18" width="14.1796875" customWidth="1"/>
  </cols>
  <sheetData>
    <row r="1" spans="1:18" s="1" customFormat="1" x14ac:dyDescent="0.35">
      <c r="A1" s="3" t="s">
        <v>0</v>
      </c>
      <c r="B1" s="4" t="s">
        <v>1</v>
      </c>
      <c r="C1" s="3" t="s">
        <v>2</v>
      </c>
      <c r="D1" s="3" t="s">
        <v>3</v>
      </c>
      <c r="E1" s="3" t="s">
        <v>4</v>
      </c>
      <c r="F1" s="3" t="s">
        <v>5</v>
      </c>
      <c r="G1" s="3" t="s">
        <v>6</v>
      </c>
      <c r="H1" s="5" t="s">
        <v>7</v>
      </c>
      <c r="I1" s="6" t="s">
        <v>8</v>
      </c>
      <c r="J1" s="3" t="s">
        <v>9</v>
      </c>
      <c r="K1" s="7" t="s">
        <v>10</v>
      </c>
      <c r="L1" s="7" t="s">
        <v>11</v>
      </c>
      <c r="M1" s="7" t="s">
        <v>12</v>
      </c>
      <c r="N1" s="7" t="s">
        <v>13</v>
      </c>
      <c r="O1" s="7" t="s">
        <v>14</v>
      </c>
      <c r="P1" s="7" t="s">
        <v>15</v>
      </c>
      <c r="Q1" s="7" t="s">
        <v>16</v>
      </c>
      <c r="R1" s="13" t="s">
        <v>104</v>
      </c>
    </row>
    <row r="2" spans="1:18" x14ac:dyDescent="0.35">
      <c r="A2" s="8" t="s">
        <v>80</v>
      </c>
      <c r="B2" s="9">
        <v>46190</v>
      </c>
      <c r="C2" s="8" t="s">
        <v>81</v>
      </c>
      <c r="D2" s="8" t="s">
        <v>33</v>
      </c>
      <c r="E2" s="8" t="s">
        <v>36</v>
      </c>
      <c r="F2" s="8" t="s">
        <v>58</v>
      </c>
      <c r="G2" s="8">
        <v>6</v>
      </c>
      <c r="H2" s="10">
        <v>4500</v>
      </c>
      <c r="I2" s="11">
        <v>0.1</v>
      </c>
      <c r="J2" s="8" t="s">
        <v>22</v>
      </c>
      <c r="K2" s="12" t="str">
        <f t="shared" ref="K2:K41" si="0">PROPER(TRIM(C2))</f>
        <v>Priya Verma</v>
      </c>
      <c r="L2" s="12" t="str">
        <f t="shared" ref="L2:L41" si="1">RIGHT(A2,3)</f>
        <v>031</v>
      </c>
      <c r="M2" s="12">
        <f t="shared" ref="M2:M41" si="2">H2*G2</f>
        <v>27000</v>
      </c>
      <c r="N2" s="12">
        <f t="shared" ref="N2:N41" si="3">M2*I2</f>
        <v>2700</v>
      </c>
      <c r="O2" s="12">
        <f t="shared" ref="O2:O41" si="4">M2-N2</f>
        <v>24300</v>
      </c>
      <c r="P2" s="12" t="str">
        <f>IF(O2&gt;=10000,"BIG",IF(O2&gt;=3000,"Medium","Small"))</f>
        <v>BIG</v>
      </c>
      <c r="Q2" s="12" t="str">
        <f t="shared" ref="Q2:Q41" si="5">TEXT(B2,"MMMM")</f>
        <v>June</v>
      </c>
      <c r="R2" s="14" t="str">
        <f>TEXT(B2,"DDDD")</f>
        <v>Wednesday</v>
      </c>
    </row>
    <row r="3" spans="1:18" x14ac:dyDescent="0.35">
      <c r="A3" s="8" t="s">
        <v>56</v>
      </c>
      <c r="B3" s="9">
        <v>46040</v>
      </c>
      <c r="C3" s="8" t="s">
        <v>57</v>
      </c>
      <c r="D3" s="8" t="s">
        <v>33</v>
      </c>
      <c r="E3" s="8" t="s">
        <v>36</v>
      </c>
      <c r="F3" s="8" t="s">
        <v>58</v>
      </c>
      <c r="G3" s="8">
        <v>2</v>
      </c>
      <c r="H3" s="10">
        <v>4500</v>
      </c>
      <c r="I3" s="11">
        <v>0</v>
      </c>
      <c r="J3" s="8" t="s">
        <v>38</v>
      </c>
      <c r="K3" s="12" t="str">
        <f t="shared" si="0"/>
        <v>Arjun Reddy</v>
      </c>
      <c r="L3" s="12" t="str">
        <f t="shared" si="1"/>
        <v>039</v>
      </c>
      <c r="M3" s="12">
        <f t="shared" si="2"/>
        <v>9000</v>
      </c>
      <c r="N3" s="12">
        <f t="shared" si="3"/>
        <v>0</v>
      </c>
      <c r="O3" s="12">
        <f t="shared" si="4"/>
        <v>9000</v>
      </c>
      <c r="P3" s="12" t="str">
        <f t="shared" ref="P3:P41" si="6">IF(O3&gt;=10000,"BIG",IF(O3&gt;=3000,"Medium","Small"))</f>
        <v>Medium</v>
      </c>
      <c r="Q3" s="12" t="str">
        <f t="shared" si="5"/>
        <v>January</v>
      </c>
      <c r="R3" s="14" t="str">
        <f t="shared" ref="R3:R41" si="7">TEXT(B3,"DDDD")</f>
        <v>Sunday</v>
      </c>
    </row>
    <row r="4" spans="1:18" x14ac:dyDescent="0.35">
      <c r="A4" s="8" t="s">
        <v>97</v>
      </c>
      <c r="B4" s="9">
        <v>46161</v>
      </c>
      <c r="C4" s="8" t="s">
        <v>47</v>
      </c>
      <c r="D4" s="8" t="s">
        <v>33</v>
      </c>
      <c r="E4" s="8" t="s">
        <v>20</v>
      </c>
      <c r="F4" s="8" t="s">
        <v>75</v>
      </c>
      <c r="G4" s="8">
        <v>6</v>
      </c>
      <c r="H4" s="10">
        <v>1500</v>
      </c>
      <c r="I4" s="11">
        <v>0</v>
      </c>
      <c r="J4" s="8" t="s">
        <v>26</v>
      </c>
      <c r="K4" s="12" t="str">
        <f t="shared" si="0"/>
        <v>Rahul Sharma</v>
      </c>
      <c r="L4" s="12" t="str">
        <f t="shared" si="1"/>
        <v>034</v>
      </c>
      <c r="M4" s="12">
        <f t="shared" si="2"/>
        <v>9000</v>
      </c>
      <c r="N4" s="12">
        <f t="shared" si="3"/>
        <v>0</v>
      </c>
      <c r="O4" s="12">
        <f t="shared" si="4"/>
        <v>9000</v>
      </c>
      <c r="P4" s="12" t="str">
        <f t="shared" si="6"/>
        <v>Medium</v>
      </c>
      <c r="Q4" s="12" t="str">
        <f t="shared" si="5"/>
        <v>May</v>
      </c>
      <c r="R4" s="14" t="str">
        <f t="shared" si="7"/>
        <v>Tuesday</v>
      </c>
    </row>
    <row r="5" spans="1:18" x14ac:dyDescent="0.35">
      <c r="A5" s="8" t="s">
        <v>44</v>
      </c>
      <c r="B5" s="9">
        <v>46171</v>
      </c>
      <c r="C5" s="8" t="s">
        <v>45</v>
      </c>
      <c r="D5" s="8" t="s">
        <v>33</v>
      </c>
      <c r="E5" s="8" t="s">
        <v>20</v>
      </c>
      <c r="F5" s="8" t="s">
        <v>21</v>
      </c>
      <c r="G5" s="8">
        <v>2</v>
      </c>
      <c r="H5" s="10">
        <v>2200</v>
      </c>
      <c r="I5" s="11">
        <v>0</v>
      </c>
      <c r="J5" s="8" t="s">
        <v>38</v>
      </c>
      <c r="K5" s="12" t="str">
        <f t="shared" si="0"/>
        <v>Arjun Reddy</v>
      </c>
      <c r="L5" s="12" t="str">
        <f t="shared" si="1"/>
        <v>040</v>
      </c>
      <c r="M5" s="12">
        <f t="shared" si="2"/>
        <v>4400</v>
      </c>
      <c r="N5" s="12">
        <f t="shared" si="3"/>
        <v>0</v>
      </c>
      <c r="O5" s="12">
        <f t="shared" si="4"/>
        <v>4400</v>
      </c>
      <c r="P5" s="12" t="str">
        <f t="shared" si="6"/>
        <v>Medium</v>
      </c>
      <c r="Q5" s="12" t="str">
        <f t="shared" si="5"/>
        <v>May</v>
      </c>
      <c r="R5" s="14" t="str">
        <f t="shared" si="7"/>
        <v>Friday</v>
      </c>
    </row>
    <row r="6" spans="1:18" x14ac:dyDescent="0.35">
      <c r="A6" s="8" t="s">
        <v>35</v>
      </c>
      <c r="B6" s="9">
        <v>46072</v>
      </c>
      <c r="C6" s="8" t="s">
        <v>28</v>
      </c>
      <c r="D6" s="8" t="s">
        <v>33</v>
      </c>
      <c r="E6" s="8" t="s">
        <v>36</v>
      </c>
      <c r="F6" s="8" t="s">
        <v>37</v>
      </c>
      <c r="G6" s="8">
        <v>5</v>
      </c>
      <c r="H6" s="10">
        <v>800</v>
      </c>
      <c r="I6" s="11">
        <v>0</v>
      </c>
      <c r="J6" s="8" t="s">
        <v>38</v>
      </c>
      <c r="K6" s="12" t="str">
        <f t="shared" si="0"/>
        <v>Priya Verma</v>
      </c>
      <c r="L6" s="12" t="str">
        <f t="shared" si="1"/>
        <v>008</v>
      </c>
      <c r="M6" s="12">
        <f t="shared" si="2"/>
        <v>4000</v>
      </c>
      <c r="N6" s="12">
        <f t="shared" si="3"/>
        <v>0</v>
      </c>
      <c r="O6" s="12">
        <f t="shared" si="4"/>
        <v>4000</v>
      </c>
      <c r="P6" s="12" t="str">
        <f t="shared" si="6"/>
        <v>Medium</v>
      </c>
      <c r="Q6" s="12" t="str">
        <f t="shared" si="5"/>
        <v>February</v>
      </c>
      <c r="R6" s="14" t="str">
        <f t="shared" si="7"/>
        <v>Thursday</v>
      </c>
    </row>
    <row r="7" spans="1:18" x14ac:dyDescent="0.35">
      <c r="A7" s="8" t="s">
        <v>55</v>
      </c>
      <c r="B7" s="9">
        <v>46054</v>
      </c>
      <c r="C7" s="8" t="s">
        <v>53</v>
      </c>
      <c r="D7" s="8" t="s">
        <v>33</v>
      </c>
      <c r="E7" s="8" t="s">
        <v>36</v>
      </c>
      <c r="F7" s="8" t="s">
        <v>37</v>
      </c>
      <c r="G7" s="8">
        <v>5</v>
      </c>
      <c r="H7" s="10">
        <v>800</v>
      </c>
      <c r="I7" s="11">
        <v>0.05</v>
      </c>
      <c r="J7" s="8" t="s">
        <v>22</v>
      </c>
      <c r="K7" s="12" t="str">
        <f t="shared" si="0"/>
        <v>Sneha Iyer</v>
      </c>
      <c r="L7" s="12" t="str">
        <f t="shared" si="1"/>
        <v>007</v>
      </c>
      <c r="M7" s="12">
        <f t="shared" si="2"/>
        <v>4000</v>
      </c>
      <c r="N7" s="12">
        <f t="shared" si="3"/>
        <v>200</v>
      </c>
      <c r="O7" s="12">
        <f t="shared" si="4"/>
        <v>3800</v>
      </c>
      <c r="P7" s="12" t="str">
        <f t="shared" si="6"/>
        <v>Medium</v>
      </c>
      <c r="Q7" s="12" t="str">
        <f t="shared" si="5"/>
        <v>February</v>
      </c>
      <c r="R7" s="14" t="str">
        <f t="shared" si="7"/>
        <v>Sunday</v>
      </c>
    </row>
    <row r="8" spans="1:18" x14ac:dyDescent="0.35">
      <c r="A8" s="8" t="s">
        <v>71</v>
      </c>
      <c r="B8" s="9">
        <v>46194</v>
      </c>
      <c r="C8" s="8" t="s">
        <v>72</v>
      </c>
      <c r="D8" s="8" t="s">
        <v>33</v>
      </c>
      <c r="E8" s="8" t="s">
        <v>30</v>
      </c>
      <c r="F8" s="8" t="s">
        <v>73</v>
      </c>
      <c r="G8" s="8">
        <v>11</v>
      </c>
      <c r="H8" s="10">
        <v>250</v>
      </c>
      <c r="I8" s="11">
        <v>0</v>
      </c>
      <c r="J8" s="8" t="s">
        <v>22</v>
      </c>
      <c r="K8" s="12" t="str">
        <f t="shared" si="0"/>
        <v>Neha Gupta</v>
      </c>
      <c r="L8" s="12" t="str">
        <f t="shared" si="1"/>
        <v>010</v>
      </c>
      <c r="M8" s="12">
        <f t="shared" si="2"/>
        <v>2750</v>
      </c>
      <c r="N8" s="12">
        <f t="shared" si="3"/>
        <v>0</v>
      </c>
      <c r="O8" s="12">
        <f t="shared" si="4"/>
        <v>2750</v>
      </c>
      <c r="P8" s="12" t="str">
        <f t="shared" si="6"/>
        <v>Small</v>
      </c>
      <c r="Q8" s="12" t="str">
        <f t="shared" si="5"/>
        <v>June</v>
      </c>
      <c r="R8" s="14" t="str">
        <f t="shared" si="7"/>
        <v>Sunday</v>
      </c>
    </row>
    <row r="9" spans="1:18" x14ac:dyDescent="0.35">
      <c r="A9" s="8" t="s">
        <v>84</v>
      </c>
      <c r="B9" s="9">
        <v>46174</v>
      </c>
      <c r="C9" s="8" t="s">
        <v>85</v>
      </c>
      <c r="D9" s="8" t="s">
        <v>33</v>
      </c>
      <c r="E9" s="8" t="s">
        <v>20</v>
      </c>
      <c r="F9" s="8" t="s">
        <v>21</v>
      </c>
      <c r="G9" s="8">
        <v>1</v>
      </c>
      <c r="H9" s="10">
        <v>2200</v>
      </c>
      <c r="I9" s="11">
        <v>0</v>
      </c>
      <c r="J9" s="8" t="s">
        <v>26</v>
      </c>
      <c r="K9" s="12" t="str">
        <f t="shared" si="0"/>
        <v>Sneha Iyer</v>
      </c>
      <c r="L9" s="12" t="str">
        <f t="shared" si="1"/>
        <v>002</v>
      </c>
      <c r="M9" s="12">
        <f t="shared" si="2"/>
        <v>2200</v>
      </c>
      <c r="N9" s="12">
        <f t="shared" si="3"/>
        <v>0</v>
      </c>
      <c r="O9" s="12">
        <f t="shared" si="4"/>
        <v>2200</v>
      </c>
      <c r="P9" s="12" t="str">
        <f t="shared" si="6"/>
        <v>Small</v>
      </c>
      <c r="Q9" s="12" t="str">
        <f t="shared" si="5"/>
        <v>June</v>
      </c>
      <c r="R9" s="14" t="str">
        <f t="shared" si="7"/>
        <v>Monday</v>
      </c>
    </row>
    <row r="10" spans="1:18" x14ac:dyDescent="0.35">
      <c r="A10" s="8" t="s">
        <v>52</v>
      </c>
      <c r="B10" s="9">
        <v>46077</v>
      </c>
      <c r="C10" s="8" t="s">
        <v>53</v>
      </c>
      <c r="D10" s="8" t="s">
        <v>33</v>
      </c>
      <c r="E10" s="8" t="s">
        <v>30</v>
      </c>
      <c r="F10" s="8" t="s">
        <v>54</v>
      </c>
      <c r="G10" s="8">
        <v>20</v>
      </c>
      <c r="H10" s="10">
        <v>90</v>
      </c>
      <c r="I10" s="11">
        <v>0</v>
      </c>
      <c r="J10" s="8" t="s">
        <v>38</v>
      </c>
      <c r="K10" s="12" t="str">
        <f t="shared" si="0"/>
        <v>Sneha Iyer</v>
      </c>
      <c r="L10" s="12" t="str">
        <f t="shared" si="1"/>
        <v>035</v>
      </c>
      <c r="M10" s="12">
        <f t="shared" si="2"/>
        <v>1800</v>
      </c>
      <c r="N10" s="12">
        <f t="shared" si="3"/>
        <v>0</v>
      </c>
      <c r="O10" s="12">
        <f t="shared" si="4"/>
        <v>1800</v>
      </c>
      <c r="P10" s="12" t="str">
        <f t="shared" si="6"/>
        <v>Small</v>
      </c>
      <c r="Q10" s="12" t="str">
        <f t="shared" si="5"/>
        <v>February</v>
      </c>
      <c r="R10" s="14" t="str">
        <f t="shared" si="7"/>
        <v>Tuesday</v>
      </c>
    </row>
    <row r="11" spans="1:18" x14ac:dyDescent="0.35">
      <c r="A11" s="8" t="s">
        <v>32</v>
      </c>
      <c r="B11" s="9">
        <v>46141</v>
      </c>
      <c r="C11" s="8" t="s">
        <v>18</v>
      </c>
      <c r="D11" s="8" t="s">
        <v>33</v>
      </c>
      <c r="E11" s="8" t="s">
        <v>30</v>
      </c>
      <c r="F11" s="8" t="s">
        <v>34</v>
      </c>
      <c r="G11" s="8">
        <v>13</v>
      </c>
      <c r="H11" s="10">
        <v>120</v>
      </c>
      <c r="I11" s="11">
        <v>0.1</v>
      </c>
      <c r="J11" s="8" t="s">
        <v>22</v>
      </c>
      <c r="K11" s="12" t="str">
        <f t="shared" si="0"/>
        <v>Vikram Mehta</v>
      </c>
      <c r="L11" s="12" t="str">
        <f t="shared" si="1"/>
        <v>033</v>
      </c>
      <c r="M11" s="12">
        <f t="shared" si="2"/>
        <v>1560</v>
      </c>
      <c r="N11" s="12">
        <f t="shared" si="3"/>
        <v>156</v>
      </c>
      <c r="O11" s="12">
        <f t="shared" si="4"/>
        <v>1404</v>
      </c>
      <c r="P11" s="12" t="str">
        <f t="shared" si="6"/>
        <v>Small</v>
      </c>
      <c r="Q11" s="12" t="str">
        <f t="shared" si="5"/>
        <v>April</v>
      </c>
      <c r="R11" s="14" t="str">
        <f t="shared" si="7"/>
        <v>Wednesday</v>
      </c>
    </row>
    <row r="12" spans="1:18" x14ac:dyDescent="0.35">
      <c r="A12" s="8" t="s">
        <v>92</v>
      </c>
      <c r="B12" s="9">
        <v>46094</v>
      </c>
      <c r="C12" s="8" t="s">
        <v>93</v>
      </c>
      <c r="D12" s="8" t="s">
        <v>29</v>
      </c>
      <c r="E12" s="8" t="s">
        <v>20</v>
      </c>
      <c r="F12" s="8" t="s">
        <v>65</v>
      </c>
      <c r="G12" s="8">
        <v>3</v>
      </c>
      <c r="H12" s="10">
        <v>9500</v>
      </c>
      <c r="I12" s="11">
        <v>0.05</v>
      </c>
      <c r="J12" s="8" t="s">
        <v>26</v>
      </c>
      <c r="K12" s="12" t="str">
        <f t="shared" si="0"/>
        <v>Anita Singh</v>
      </c>
      <c r="L12" s="12" t="str">
        <f t="shared" si="1"/>
        <v>005</v>
      </c>
      <c r="M12" s="12">
        <f t="shared" si="2"/>
        <v>28500</v>
      </c>
      <c r="N12" s="12">
        <f t="shared" si="3"/>
        <v>1425</v>
      </c>
      <c r="O12" s="12">
        <f t="shared" si="4"/>
        <v>27075</v>
      </c>
      <c r="P12" s="12" t="str">
        <f t="shared" si="6"/>
        <v>BIG</v>
      </c>
      <c r="Q12" s="12" t="str">
        <f t="shared" si="5"/>
        <v>March</v>
      </c>
      <c r="R12" s="14" t="str">
        <f t="shared" si="7"/>
        <v>Friday</v>
      </c>
    </row>
    <row r="13" spans="1:18" x14ac:dyDescent="0.35">
      <c r="A13" s="8" t="s">
        <v>90</v>
      </c>
      <c r="B13" s="9">
        <v>46093</v>
      </c>
      <c r="C13" s="8" t="s">
        <v>18</v>
      </c>
      <c r="D13" s="8" t="s">
        <v>29</v>
      </c>
      <c r="E13" s="8" t="s">
        <v>36</v>
      </c>
      <c r="F13" s="8" t="s">
        <v>58</v>
      </c>
      <c r="G13" s="8">
        <v>1</v>
      </c>
      <c r="H13" s="10">
        <v>4500</v>
      </c>
      <c r="I13" s="11">
        <v>0</v>
      </c>
      <c r="J13" s="8" t="s">
        <v>22</v>
      </c>
      <c r="K13" s="12" t="str">
        <f t="shared" si="0"/>
        <v>Vikram Mehta</v>
      </c>
      <c r="L13" s="12" t="str">
        <f t="shared" si="1"/>
        <v>001</v>
      </c>
      <c r="M13" s="12">
        <f t="shared" si="2"/>
        <v>4500</v>
      </c>
      <c r="N13" s="12">
        <f t="shared" si="3"/>
        <v>0</v>
      </c>
      <c r="O13" s="12">
        <f t="shared" si="4"/>
        <v>4500</v>
      </c>
      <c r="P13" s="12" t="str">
        <f t="shared" si="6"/>
        <v>Medium</v>
      </c>
      <c r="Q13" s="12" t="str">
        <f t="shared" si="5"/>
        <v>March</v>
      </c>
      <c r="R13" s="14" t="str">
        <f t="shared" si="7"/>
        <v>Thursday</v>
      </c>
    </row>
    <row r="14" spans="1:18" x14ac:dyDescent="0.35">
      <c r="A14" s="8" t="s">
        <v>82</v>
      </c>
      <c r="B14" s="9">
        <v>46125</v>
      </c>
      <c r="C14" s="8" t="s">
        <v>83</v>
      </c>
      <c r="D14" s="8" t="s">
        <v>29</v>
      </c>
      <c r="E14" s="8" t="s">
        <v>36</v>
      </c>
      <c r="F14" s="8" t="s">
        <v>37</v>
      </c>
      <c r="G14" s="8">
        <v>5</v>
      </c>
      <c r="H14" s="10">
        <v>800</v>
      </c>
      <c r="I14" s="11">
        <v>0</v>
      </c>
      <c r="J14" s="8" t="s">
        <v>22</v>
      </c>
      <c r="K14" s="12" t="str">
        <f t="shared" si="0"/>
        <v>Amit Kumar</v>
      </c>
      <c r="L14" s="12" t="str">
        <f t="shared" si="1"/>
        <v>015</v>
      </c>
      <c r="M14" s="12">
        <f t="shared" si="2"/>
        <v>4000</v>
      </c>
      <c r="N14" s="12">
        <f t="shared" si="3"/>
        <v>0</v>
      </c>
      <c r="O14" s="12">
        <f t="shared" si="4"/>
        <v>4000</v>
      </c>
      <c r="P14" s="12" t="str">
        <f t="shared" si="6"/>
        <v>Medium</v>
      </c>
      <c r="Q14" s="12" t="str">
        <f t="shared" si="5"/>
        <v>April</v>
      </c>
      <c r="R14" s="14" t="str">
        <f t="shared" si="7"/>
        <v>Monday</v>
      </c>
    </row>
    <row r="15" spans="1:18" x14ac:dyDescent="0.35">
      <c r="A15" s="8" t="s">
        <v>68</v>
      </c>
      <c r="B15" s="9">
        <v>46152</v>
      </c>
      <c r="C15" s="8" t="s">
        <v>45</v>
      </c>
      <c r="D15" s="8" t="s">
        <v>29</v>
      </c>
      <c r="E15" s="8" t="s">
        <v>20</v>
      </c>
      <c r="F15" s="8" t="s">
        <v>48</v>
      </c>
      <c r="G15" s="8">
        <v>6</v>
      </c>
      <c r="H15" s="10">
        <v>500</v>
      </c>
      <c r="I15" s="11">
        <v>0</v>
      </c>
      <c r="J15" s="8" t="s">
        <v>38</v>
      </c>
      <c r="K15" s="12" t="str">
        <f t="shared" si="0"/>
        <v>Arjun Reddy</v>
      </c>
      <c r="L15" s="12" t="str">
        <f t="shared" si="1"/>
        <v>020</v>
      </c>
      <c r="M15" s="12">
        <f t="shared" si="2"/>
        <v>3000</v>
      </c>
      <c r="N15" s="12">
        <f t="shared" si="3"/>
        <v>0</v>
      </c>
      <c r="O15" s="12">
        <f t="shared" si="4"/>
        <v>3000</v>
      </c>
      <c r="P15" s="12" t="str">
        <f t="shared" si="6"/>
        <v>Medium</v>
      </c>
      <c r="Q15" s="12" t="str">
        <f t="shared" si="5"/>
        <v>May</v>
      </c>
      <c r="R15" s="14" t="str">
        <f t="shared" si="7"/>
        <v>Sunday</v>
      </c>
    </row>
    <row r="16" spans="1:18" x14ac:dyDescent="0.35">
      <c r="A16" s="8" t="s">
        <v>69</v>
      </c>
      <c r="B16" s="9">
        <v>46178</v>
      </c>
      <c r="C16" s="8" t="s">
        <v>70</v>
      </c>
      <c r="D16" s="8" t="s">
        <v>29</v>
      </c>
      <c r="E16" s="8" t="s">
        <v>20</v>
      </c>
      <c r="F16" s="8" t="s">
        <v>48</v>
      </c>
      <c r="G16" s="8">
        <v>5</v>
      </c>
      <c r="H16" s="10">
        <v>500</v>
      </c>
      <c r="I16" s="11">
        <v>0</v>
      </c>
      <c r="J16" s="8" t="s">
        <v>22</v>
      </c>
      <c r="K16" s="12" t="str">
        <f t="shared" si="0"/>
        <v>Sneha Iyer</v>
      </c>
      <c r="L16" s="12" t="str">
        <f t="shared" si="1"/>
        <v>024</v>
      </c>
      <c r="M16" s="12">
        <f t="shared" si="2"/>
        <v>2500</v>
      </c>
      <c r="N16" s="12">
        <f t="shared" si="3"/>
        <v>0</v>
      </c>
      <c r="O16" s="12">
        <f t="shared" si="4"/>
        <v>2500</v>
      </c>
      <c r="P16" s="12" t="str">
        <f t="shared" si="6"/>
        <v>Small</v>
      </c>
      <c r="Q16" s="12" t="str">
        <f t="shared" si="5"/>
        <v>June</v>
      </c>
      <c r="R16" s="14" t="str">
        <f t="shared" si="7"/>
        <v>Friday</v>
      </c>
    </row>
    <row r="17" spans="1:18" x14ac:dyDescent="0.35">
      <c r="A17" s="8" t="s">
        <v>27</v>
      </c>
      <c r="B17" s="9">
        <v>46035</v>
      </c>
      <c r="C17" s="8" t="s">
        <v>28</v>
      </c>
      <c r="D17" s="8" t="s">
        <v>29</v>
      </c>
      <c r="E17" s="8" t="s">
        <v>30</v>
      </c>
      <c r="F17" s="8" t="s">
        <v>31</v>
      </c>
      <c r="G17" s="8">
        <v>29</v>
      </c>
      <c r="H17" s="10">
        <v>60</v>
      </c>
      <c r="I17" s="11">
        <v>0</v>
      </c>
      <c r="J17" s="8" t="s">
        <v>22</v>
      </c>
      <c r="K17" s="12" t="str">
        <f t="shared" si="0"/>
        <v>Priya Verma</v>
      </c>
      <c r="L17" s="12" t="str">
        <f t="shared" si="1"/>
        <v>016</v>
      </c>
      <c r="M17" s="12">
        <f t="shared" si="2"/>
        <v>1740</v>
      </c>
      <c r="N17" s="12">
        <f t="shared" si="3"/>
        <v>0</v>
      </c>
      <c r="O17" s="12">
        <f t="shared" si="4"/>
        <v>1740</v>
      </c>
      <c r="P17" s="12" t="str">
        <f t="shared" si="6"/>
        <v>Small</v>
      </c>
      <c r="Q17" s="12" t="str">
        <f t="shared" si="5"/>
        <v>January</v>
      </c>
      <c r="R17" s="14" t="str">
        <f t="shared" si="7"/>
        <v>Tuesday</v>
      </c>
    </row>
    <row r="18" spans="1:18" x14ac:dyDescent="0.35">
      <c r="A18" s="8" t="s">
        <v>46</v>
      </c>
      <c r="B18" s="9">
        <v>46084</v>
      </c>
      <c r="C18" s="8" t="s">
        <v>47</v>
      </c>
      <c r="D18" s="8" t="s">
        <v>29</v>
      </c>
      <c r="E18" s="8" t="s">
        <v>20</v>
      </c>
      <c r="F18" s="8" t="s">
        <v>48</v>
      </c>
      <c r="G18" s="8">
        <v>3</v>
      </c>
      <c r="H18" s="10">
        <v>500</v>
      </c>
      <c r="I18" s="11">
        <v>0</v>
      </c>
      <c r="J18" s="8" t="s">
        <v>26</v>
      </c>
      <c r="K18" s="12" t="str">
        <f t="shared" si="0"/>
        <v>Rahul Sharma</v>
      </c>
      <c r="L18" s="12" t="str">
        <f t="shared" si="1"/>
        <v>022</v>
      </c>
      <c r="M18" s="12">
        <f t="shared" si="2"/>
        <v>1500</v>
      </c>
      <c r="N18" s="12">
        <f t="shared" si="3"/>
        <v>0</v>
      </c>
      <c r="O18" s="12">
        <f t="shared" si="4"/>
        <v>1500</v>
      </c>
      <c r="P18" s="12" t="str">
        <f t="shared" si="6"/>
        <v>Small</v>
      </c>
      <c r="Q18" s="12" t="str">
        <f t="shared" si="5"/>
        <v>March</v>
      </c>
      <c r="R18" s="14" t="str">
        <f t="shared" si="7"/>
        <v>Tuesday</v>
      </c>
    </row>
    <row r="19" spans="1:18" x14ac:dyDescent="0.35">
      <c r="A19" s="8" t="s">
        <v>103</v>
      </c>
      <c r="B19" s="9">
        <v>46184</v>
      </c>
      <c r="C19" s="8" t="s">
        <v>67</v>
      </c>
      <c r="D19" s="8" t="s">
        <v>29</v>
      </c>
      <c r="E19" s="8" t="s">
        <v>20</v>
      </c>
      <c r="F19" s="8" t="s">
        <v>75</v>
      </c>
      <c r="G19" s="8">
        <v>1</v>
      </c>
      <c r="H19" s="10">
        <v>1500</v>
      </c>
      <c r="I19" s="11">
        <v>0</v>
      </c>
      <c r="J19" s="8" t="s">
        <v>26</v>
      </c>
      <c r="K19" s="12" t="str">
        <f t="shared" si="0"/>
        <v>Rahul Sharma</v>
      </c>
      <c r="L19" s="12" t="str">
        <f t="shared" si="1"/>
        <v>027</v>
      </c>
      <c r="M19" s="12">
        <f t="shared" si="2"/>
        <v>1500</v>
      </c>
      <c r="N19" s="12">
        <f t="shared" si="3"/>
        <v>0</v>
      </c>
      <c r="O19" s="12">
        <f t="shared" si="4"/>
        <v>1500</v>
      </c>
      <c r="P19" s="12" t="str">
        <f t="shared" si="6"/>
        <v>Small</v>
      </c>
      <c r="Q19" s="12" t="str">
        <f t="shared" si="5"/>
        <v>June</v>
      </c>
      <c r="R19" s="14" t="str">
        <f t="shared" si="7"/>
        <v>Thursday</v>
      </c>
    </row>
    <row r="20" spans="1:18" x14ac:dyDescent="0.35">
      <c r="A20" s="8" t="s">
        <v>59</v>
      </c>
      <c r="B20" s="9">
        <v>46159</v>
      </c>
      <c r="C20" s="8" t="s">
        <v>60</v>
      </c>
      <c r="D20" s="8" t="s">
        <v>29</v>
      </c>
      <c r="E20" s="8" t="s">
        <v>36</v>
      </c>
      <c r="F20" s="8" t="s">
        <v>37</v>
      </c>
      <c r="G20" s="8">
        <v>1</v>
      </c>
      <c r="H20" s="10">
        <v>800</v>
      </c>
      <c r="I20" s="11">
        <v>0.1</v>
      </c>
      <c r="J20" s="8" t="s">
        <v>22</v>
      </c>
      <c r="K20" s="12" t="str">
        <f t="shared" si="0"/>
        <v>Anita Singh</v>
      </c>
      <c r="L20" s="12" t="str">
        <f t="shared" si="1"/>
        <v>023</v>
      </c>
      <c r="M20" s="12">
        <f t="shared" si="2"/>
        <v>800</v>
      </c>
      <c r="N20" s="12">
        <f t="shared" si="3"/>
        <v>80</v>
      </c>
      <c r="O20" s="12">
        <f t="shared" si="4"/>
        <v>720</v>
      </c>
      <c r="P20" s="12" t="str">
        <f t="shared" si="6"/>
        <v>Small</v>
      </c>
      <c r="Q20" s="12" t="str">
        <f t="shared" si="5"/>
        <v>May</v>
      </c>
      <c r="R20" s="14" t="str">
        <f t="shared" si="7"/>
        <v>Sunday</v>
      </c>
    </row>
    <row r="21" spans="1:18" x14ac:dyDescent="0.35">
      <c r="A21" s="8" t="s">
        <v>63</v>
      </c>
      <c r="B21" s="9">
        <v>46114</v>
      </c>
      <c r="C21" s="8" t="s">
        <v>64</v>
      </c>
      <c r="D21" s="8" t="s">
        <v>41</v>
      </c>
      <c r="E21" s="8" t="s">
        <v>20</v>
      </c>
      <c r="F21" s="8" t="s">
        <v>65</v>
      </c>
      <c r="G21" s="8">
        <v>1</v>
      </c>
      <c r="H21" s="10">
        <v>9500</v>
      </c>
      <c r="I21" s="11">
        <v>0.05</v>
      </c>
      <c r="J21" s="8" t="s">
        <v>26</v>
      </c>
      <c r="K21" s="12" t="str">
        <f t="shared" si="0"/>
        <v>Amit Kumar</v>
      </c>
      <c r="L21" s="12" t="str">
        <f t="shared" si="1"/>
        <v>006</v>
      </c>
      <c r="M21" s="12">
        <f t="shared" si="2"/>
        <v>9500</v>
      </c>
      <c r="N21" s="12">
        <f t="shared" si="3"/>
        <v>475</v>
      </c>
      <c r="O21" s="12">
        <f t="shared" si="4"/>
        <v>9025</v>
      </c>
      <c r="P21" s="12" t="str">
        <f t="shared" si="6"/>
        <v>Medium</v>
      </c>
      <c r="Q21" s="12" t="str">
        <f t="shared" si="5"/>
        <v>April</v>
      </c>
      <c r="R21" s="14" t="str">
        <f t="shared" si="7"/>
        <v>Thursday</v>
      </c>
    </row>
    <row r="22" spans="1:18" x14ac:dyDescent="0.35">
      <c r="A22" s="8" t="s">
        <v>66</v>
      </c>
      <c r="B22" s="9">
        <v>46177</v>
      </c>
      <c r="C22" s="8" t="s">
        <v>67</v>
      </c>
      <c r="D22" s="8" t="s">
        <v>41</v>
      </c>
      <c r="E22" s="8" t="s">
        <v>20</v>
      </c>
      <c r="F22" s="8" t="s">
        <v>62</v>
      </c>
      <c r="G22" s="8">
        <v>5</v>
      </c>
      <c r="H22" s="10">
        <v>900</v>
      </c>
      <c r="I22" s="11">
        <v>0</v>
      </c>
      <c r="J22" s="8" t="s">
        <v>22</v>
      </c>
      <c r="K22" s="12" t="str">
        <f t="shared" si="0"/>
        <v>Rahul Sharma</v>
      </c>
      <c r="L22" s="12" t="str">
        <f t="shared" si="1"/>
        <v>003</v>
      </c>
      <c r="M22" s="12">
        <f t="shared" si="2"/>
        <v>4500</v>
      </c>
      <c r="N22" s="12">
        <f t="shared" si="3"/>
        <v>0</v>
      </c>
      <c r="O22" s="12">
        <f t="shared" si="4"/>
        <v>4500</v>
      </c>
      <c r="P22" s="12" t="str">
        <f t="shared" si="6"/>
        <v>Medium</v>
      </c>
      <c r="Q22" s="12" t="str">
        <f t="shared" si="5"/>
        <v>June</v>
      </c>
      <c r="R22" s="14" t="str">
        <f t="shared" si="7"/>
        <v>Thursday</v>
      </c>
    </row>
    <row r="23" spans="1:18" x14ac:dyDescent="0.35">
      <c r="A23" s="8" t="s">
        <v>39</v>
      </c>
      <c r="B23" s="9">
        <v>46023</v>
      </c>
      <c r="C23" s="8" t="s">
        <v>40</v>
      </c>
      <c r="D23" s="8" t="s">
        <v>41</v>
      </c>
      <c r="E23" s="8" t="s">
        <v>30</v>
      </c>
      <c r="F23" s="8" t="s">
        <v>34</v>
      </c>
      <c r="G23" s="8">
        <v>19</v>
      </c>
      <c r="H23" s="10">
        <v>120</v>
      </c>
      <c r="I23" s="11">
        <v>0</v>
      </c>
      <c r="J23" s="8" t="s">
        <v>22</v>
      </c>
      <c r="K23" s="12" t="str">
        <f t="shared" si="0"/>
        <v>Neha Gupta</v>
      </c>
      <c r="L23" s="12" t="str">
        <f t="shared" si="1"/>
        <v>019</v>
      </c>
      <c r="M23" s="12">
        <f t="shared" si="2"/>
        <v>2280</v>
      </c>
      <c r="N23" s="12">
        <f t="shared" si="3"/>
        <v>0</v>
      </c>
      <c r="O23" s="12">
        <f t="shared" si="4"/>
        <v>2280</v>
      </c>
      <c r="P23" s="12" t="str">
        <f t="shared" si="6"/>
        <v>Small</v>
      </c>
      <c r="Q23" s="12" t="str">
        <f t="shared" si="5"/>
        <v>January</v>
      </c>
      <c r="R23" s="14" t="str">
        <f t="shared" si="7"/>
        <v>Thursday</v>
      </c>
    </row>
    <row r="24" spans="1:18" x14ac:dyDescent="0.35">
      <c r="A24" s="8" t="s">
        <v>86</v>
      </c>
      <c r="B24" s="9">
        <v>46058</v>
      </c>
      <c r="C24" s="8" t="s">
        <v>87</v>
      </c>
      <c r="D24" s="8" t="s">
        <v>41</v>
      </c>
      <c r="E24" s="8" t="s">
        <v>30</v>
      </c>
      <c r="F24" s="8" t="s">
        <v>34</v>
      </c>
      <c r="G24" s="8">
        <v>13</v>
      </c>
      <c r="H24" s="10">
        <v>120</v>
      </c>
      <c r="I24" s="11">
        <v>0.05</v>
      </c>
      <c r="J24" s="8" t="s">
        <v>22</v>
      </c>
      <c r="K24" s="12" t="str">
        <f t="shared" si="0"/>
        <v>Vikram Mehta</v>
      </c>
      <c r="L24" s="12" t="str">
        <f t="shared" si="1"/>
        <v>014</v>
      </c>
      <c r="M24" s="12">
        <f t="shared" si="2"/>
        <v>1560</v>
      </c>
      <c r="N24" s="12">
        <f t="shared" si="3"/>
        <v>78</v>
      </c>
      <c r="O24" s="12">
        <f t="shared" si="4"/>
        <v>1482</v>
      </c>
      <c r="P24" s="12" t="str">
        <f t="shared" si="6"/>
        <v>Small</v>
      </c>
      <c r="Q24" s="12" t="str">
        <f t="shared" si="5"/>
        <v>February</v>
      </c>
      <c r="R24" s="14" t="str">
        <f t="shared" si="7"/>
        <v>Thursday</v>
      </c>
    </row>
    <row r="25" spans="1:18" x14ac:dyDescent="0.35">
      <c r="A25" s="8" t="s">
        <v>94</v>
      </c>
      <c r="B25" s="9">
        <v>46037</v>
      </c>
      <c r="C25" s="8" t="s">
        <v>24</v>
      </c>
      <c r="D25" s="8" t="s">
        <v>41</v>
      </c>
      <c r="E25" s="8" t="s">
        <v>20</v>
      </c>
      <c r="F25" s="8" t="s">
        <v>48</v>
      </c>
      <c r="G25" s="8">
        <v>2</v>
      </c>
      <c r="H25" s="10">
        <v>500</v>
      </c>
      <c r="I25" s="11">
        <v>0</v>
      </c>
      <c r="J25" s="8" t="s">
        <v>22</v>
      </c>
      <c r="K25" s="12" t="str">
        <f t="shared" si="0"/>
        <v>Arjun Reddy</v>
      </c>
      <c r="L25" s="12" t="str">
        <f t="shared" si="1"/>
        <v>037</v>
      </c>
      <c r="M25" s="12">
        <f t="shared" si="2"/>
        <v>1000</v>
      </c>
      <c r="N25" s="12">
        <f t="shared" si="3"/>
        <v>0</v>
      </c>
      <c r="O25" s="12">
        <f t="shared" si="4"/>
        <v>1000</v>
      </c>
      <c r="P25" s="12" t="str">
        <f t="shared" si="6"/>
        <v>Small</v>
      </c>
      <c r="Q25" s="12" t="str">
        <f t="shared" si="5"/>
        <v>January</v>
      </c>
      <c r="R25" s="14" t="str">
        <f t="shared" si="7"/>
        <v>Thursday</v>
      </c>
    </row>
    <row r="26" spans="1:18" x14ac:dyDescent="0.35">
      <c r="A26" s="8" t="s">
        <v>61</v>
      </c>
      <c r="B26" s="9">
        <v>46109</v>
      </c>
      <c r="C26" s="8" t="s">
        <v>47</v>
      </c>
      <c r="D26" s="8" t="s">
        <v>41</v>
      </c>
      <c r="E26" s="8" t="s">
        <v>20</v>
      </c>
      <c r="F26" s="8" t="s">
        <v>62</v>
      </c>
      <c r="G26" s="8">
        <v>1</v>
      </c>
      <c r="H26" s="10">
        <v>900</v>
      </c>
      <c r="I26" s="11">
        <v>0</v>
      </c>
      <c r="J26" s="8" t="s">
        <v>22</v>
      </c>
      <c r="K26" s="12" t="str">
        <f t="shared" si="0"/>
        <v>Rahul Sharma</v>
      </c>
      <c r="L26" s="12" t="str">
        <f t="shared" si="1"/>
        <v>026</v>
      </c>
      <c r="M26" s="12">
        <f t="shared" si="2"/>
        <v>900</v>
      </c>
      <c r="N26" s="12">
        <f t="shared" si="3"/>
        <v>0</v>
      </c>
      <c r="O26" s="12">
        <f t="shared" si="4"/>
        <v>900</v>
      </c>
      <c r="P26" s="12" t="str">
        <f t="shared" si="6"/>
        <v>Small</v>
      </c>
      <c r="Q26" s="12" t="str">
        <f t="shared" si="5"/>
        <v>March</v>
      </c>
      <c r="R26" s="14" t="str">
        <f t="shared" si="7"/>
        <v>Saturday</v>
      </c>
    </row>
    <row r="27" spans="1:18" x14ac:dyDescent="0.35">
      <c r="A27" s="8" t="s">
        <v>100</v>
      </c>
      <c r="B27" s="9">
        <v>46072</v>
      </c>
      <c r="C27" s="8" t="s">
        <v>50</v>
      </c>
      <c r="D27" s="8" t="s">
        <v>41</v>
      </c>
      <c r="E27" s="8" t="s">
        <v>30</v>
      </c>
      <c r="F27" s="8" t="s">
        <v>31</v>
      </c>
      <c r="G27" s="8">
        <v>12</v>
      </c>
      <c r="H27" s="10">
        <v>60</v>
      </c>
      <c r="I27" s="11">
        <v>0.1</v>
      </c>
      <c r="J27" s="8" t="s">
        <v>26</v>
      </c>
      <c r="K27" s="12" t="str">
        <f t="shared" si="0"/>
        <v>Vikram Mehta</v>
      </c>
      <c r="L27" s="12" t="str">
        <f t="shared" si="1"/>
        <v>032</v>
      </c>
      <c r="M27" s="12">
        <f t="shared" si="2"/>
        <v>720</v>
      </c>
      <c r="N27" s="12">
        <f t="shared" si="3"/>
        <v>72</v>
      </c>
      <c r="O27" s="12">
        <f t="shared" si="4"/>
        <v>648</v>
      </c>
      <c r="P27" s="12" t="str">
        <f t="shared" si="6"/>
        <v>Small</v>
      </c>
      <c r="Q27" s="12" t="str">
        <f t="shared" si="5"/>
        <v>February</v>
      </c>
      <c r="R27" s="14" t="str">
        <f t="shared" si="7"/>
        <v>Thursday</v>
      </c>
    </row>
    <row r="28" spans="1:18" x14ac:dyDescent="0.35">
      <c r="A28" s="8" t="s">
        <v>42</v>
      </c>
      <c r="B28" s="9">
        <v>46172</v>
      </c>
      <c r="C28" s="8" t="s">
        <v>43</v>
      </c>
      <c r="D28" s="8" t="s">
        <v>41</v>
      </c>
      <c r="E28" s="8" t="s">
        <v>30</v>
      </c>
      <c r="F28" s="8" t="s">
        <v>31</v>
      </c>
      <c r="G28" s="8">
        <v>6</v>
      </c>
      <c r="H28" s="10">
        <v>60</v>
      </c>
      <c r="I28" s="11">
        <v>0</v>
      </c>
      <c r="J28" s="8" t="s">
        <v>26</v>
      </c>
      <c r="K28" s="12" t="str">
        <f t="shared" si="0"/>
        <v>Rohit Jain</v>
      </c>
      <c r="L28" s="12" t="str">
        <f t="shared" si="1"/>
        <v>038</v>
      </c>
      <c r="M28" s="12">
        <f t="shared" si="2"/>
        <v>360</v>
      </c>
      <c r="N28" s="12">
        <f t="shared" si="3"/>
        <v>0</v>
      </c>
      <c r="O28" s="12">
        <f t="shared" si="4"/>
        <v>360</v>
      </c>
      <c r="P28" s="12" t="str">
        <f t="shared" si="6"/>
        <v>Small</v>
      </c>
      <c r="Q28" s="12" t="str">
        <f t="shared" si="5"/>
        <v>May</v>
      </c>
      <c r="R28" s="14" t="str">
        <f t="shared" si="7"/>
        <v>Saturday</v>
      </c>
    </row>
    <row r="29" spans="1:18" x14ac:dyDescent="0.35">
      <c r="A29" s="8" t="s">
        <v>23</v>
      </c>
      <c r="B29" s="9">
        <v>46023</v>
      </c>
      <c r="C29" s="8" t="s">
        <v>24</v>
      </c>
      <c r="D29" s="8" t="s">
        <v>25</v>
      </c>
      <c r="E29" s="8" t="s">
        <v>20</v>
      </c>
      <c r="F29" s="8" t="s">
        <v>21</v>
      </c>
      <c r="G29" s="8">
        <v>5</v>
      </c>
      <c r="H29" s="10">
        <v>2200</v>
      </c>
      <c r="I29" s="11">
        <v>0.1</v>
      </c>
      <c r="J29" s="8" t="s">
        <v>26</v>
      </c>
      <c r="K29" s="12" t="str">
        <f t="shared" si="0"/>
        <v>Arjun Reddy</v>
      </c>
      <c r="L29" s="12" t="str">
        <f t="shared" si="1"/>
        <v>021</v>
      </c>
      <c r="M29" s="12">
        <f t="shared" si="2"/>
        <v>11000</v>
      </c>
      <c r="N29" s="12">
        <f t="shared" si="3"/>
        <v>1100</v>
      </c>
      <c r="O29" s="12">
        <f t="shared" si="4"/>
        <v>9900</v>
      </c>
      <c r="P29" s="12" t="str">
        <f t="shared" si="6"/>
        <v>Medium</v>
      </c>
      <c r="Q29" s="12" t="str">
        <f t="shared" si="5"/>
        <v>January</v>
      </c>
      <c r="R29" s="14" t="str">
        <f t="shared" si="7"/>
        <v>Thursday</v>
      </c>
    </row>
    <row r="30" spans="1:18" x14ac:dyDescent="0.35">
      <c r="A30" s="8" t="s">
        <v>99</v>
      </c>
      <c r="B30" s="9">
        <v>46141</v>
      </c>
      <c r="C30" s="8" t="s">
        <v>53</v>
      </c>
      <c r="D30" s="8" t="s">
        <v>25</v>
      </c>
      <c r="E30" s="8" t="s">
        <v>36</v>
      </c>
      <c r="F30" s="8" t="s">
        <v>58</v>
      </c>
      <c r="G30" s="8">
        <v>2</v>
      </c>
      <c r="H30" s="10">
        <v>4500</v>
      </c>
      <c r="I30" s="11">
        <v>0</v>
      </c>
      <c r="J30" s="8" t="s">
        <v>22</v>
      </c>
      <c r="K30" s="12" t="str">
        <f t="shared" si="0"/>
        <v>Sneha Iyer</v>
      </c>
      <c r="L30" s="12" t="str">
        <f t="shared" si="1"/>
        <v>011</v>
      </c>
      <c r="M30" s="12">
        <f t="shared" si="2"/>
        <v>9000</v>
      </c>
      <c r="N30" s="12">
        <f t="shared" si="3"/>
        <v>0</v>
      </c>
      <c r="O30" s="12">
        <f t="shared" si="4"/>
        <v>9000</v>
      </c>
      <c r="P30" s="12" t="str">
        <f t="shared" si="6"/>
        <v>Medium</v>
      </c>
      <c r="Q30" s="12" t="str">
        <f t="shared" si="5"/>
        <v>April</v>
      </c>
      <c r="R30" s="14" t="str">
        <f t="shared" si="7"/>
        <v>Wednesday</v>
      </c>
    </row>
    <row r="31" spans="1:18" x14ac:dyDescent="0.35">
      <c r="A31" s="8" t="s">
        <v>74</v>
      </c>
      <c r="B31" s="9">
        <v>46160</v>
      </c>
      <c r="C31" s="8" t="s">
        <v>72</v>
      </c>
      <c r="D31" s="8" t="s">
        <v>25</v>
      </c>
      <c r="E31" s="8" t="s">
        <v>20</v>
      </c>
      <c r="F31" s="8" t="s">
        <v>75</v>
      </c>
      <c r="G31" s="8">
        <v>6</v>
      </c>
      <c r="H31" s="10">
        <v>1500</v>
      </c>
      <c r="I31" s="11">
        <v>0</v>
      </c>
      <c r="J31" s="8" t="s">
        <v>38</v>
      </c>
      <c r="K31" s="12" t="str">
        <f t="shared" si="0"/>
        <v>Neha Gupta</v>
      </c>
      <c r="L31" s="12" t="str">
        <f t="shared" si="1"/>
        <v>018</v>
      </c>
      <c r="M31" s="12">
        <f t="shared" si="2"/>
        <v>9000</v>
      </c>
      <c r="N31" s="12">
        <f t="shared" si="3"/>
        <v>0</v>
      </c>
      <c r="O31" s="12">
        <f t="shared" si="4"/>
        <v>9000</v>
      </c>
      <c r="P31" s="12" t="str">
        <f t="shared" si="6"/>
        <v>Medium</v>
      </c>
      <c r="Q31" s="12" t="str">
        <f t="shared" si="5"/>
        <v>May</v>
      </c>
      <c r="R31" s="14" t="str">
        <f t="shared" si="7"/>
        <v>Monday</v>
      </c>
    </row>
    <row r="32" spans="1:18" x14ac:dyDescent="0.35">
      <c r="A32" s="8" t="s">
        <v>49</v>
      </c>
      <c r="B32" s="9">
        <v>46130</v>
      </c>
      <c r="C32" s="8" t="s">
        <v>50</v>
      </c>
      <c r="D32" s="8" t="s">
        <v>19</v>
      </c>
      <c r="E32" s="8" t="s">
        <v>36</v>
      </c>
      <c r="F32" s="8" t="s">
        <v>51</v>
      </c>
      <c r="G32" s="8">
        <v>5</v>
      </c>
      <c r="H32" s="10">
        <v>6500</v>
      </c>
      <c r="I32" s="11">
        <v>0.05</v>
      </c>
      <c r="J32" s="8" t="s">
        <v>26</v>
      </c>
      <c r="K32" s="12" t="str">
        <f t="shared" si="0"/>
        <v>Vikram Mehta</v>
      </c>
      <c r="L32" s="12" t="str">
        <f t="shared" si="1"/>
        <v>004</v>
      </c>
      <c r="M32" s="12">
        <f t="shared" si="2"/>
        <v>32500</v>
      </c>
      <c r="N32" s="12">
        <f t="shared" si="3"/>
        <v>1625</v>
      </c>
      <c r="O32" s="12">
        <f t="shared" si="4"/>
        <v>30875</v>
      </c>
      <c r="P32" s="12" t="str">
        <f t="shared" si="6"/>
        <v>BIG</v>
      </c>
      <c r="Q32" s="12" t="str">
        <f t="shared" si="5"/>
        <v>April</v>
      </c>
      <c r="R32" s="14" t="str">
        <f t="shared" si="7"/>
        <v>Saturday</v>
      </c>
    </row>
    <row r="33" spans="1:18" x14ac:dyDescent="0.35">
      <c r="A33" s="8" t="s">
        <v>98</v>
      </c>
      <c r="B33" s="9">
        <v>46139</v>
      </c>
      <c r="C33" s="8" t="s">
        <v>96</v>
      </c>
      <c r="D33" s="8" t="s">
        <v>19</v>
      </c>
      <c r="E33" s="8" t="s">
        <v>20</v>
      </c>
      <c r="F33" s="8" t="s">
        <v>65</v>
      </c>
      <c r="G33" s="8">
        <v>3</v>
      </c>
      <c r="H33" s="10">
        <v>9500</v>
      </c>
      <c r="I33" s="11">
        <v>0.1</v>
      </c>
      <c r="J33" s="8" t="s">
        <v>26</v>
      </c>
      <c r="K33" s="12" t="str">
        <f t="shared" si="0"/>
        <v>Neha Gupta</v>
      </c>
      <c r="L33" s="12" t="str">
        <f t="shared" si="1"/>
        <v>036</v>
      </c>
      <c r="M33" s="12">
        <f t="shared" si="2"/>
        <v>28500</v>
      </c>
      <c r="N33" s="12">
        <f t="shared" si="3"/>
        <v>2850</v>
      </c>
      <c r="O33" s="12">
        <f t="shared" si="4"/>
        <v>25650</v>
      </c>
      <c r="P33" s="12" t="str">
        <f t="shared" si="6"/>
        <v>BIG</v>
      </c>
      <c r="Q33" s="12" t="str">
        <f t="shared" si="5"/>
        <v>April</v>
      </c>
      <c r="R33" s="14" t="str">
        <f t="shared" si="7"/>
        <v>Monday</v>
      </c>
    </row>
    <row r="34" spans="1:18" x14ac:dyDescent="0.35">
      <c r="A34" s="8" t="s">
        <v>17</v>
      </c>
      <c r="B34" s="9">
        <v>46103</v>
      </c>
      <c r="C34" s="8" t="s">
        <v>18</v>
      </c>
      <c r="D34" s="8" t="s">
        <v>19</v>
      </c>
      <c r="E34" s="8" t="s">
        <v>20</v>
      </c>
      <c r="F34" s="8" t="s">
        <v>21</v>
      </c>
      <c r="G34" s="8">
        <v>6</v>
      </c>
      <c r="H34" s="10">
        <v>2200</v>
      </c>
      <c r="I34" s="11">
        <v>0.1</v>
      </c>
      <c r="J34" s="8" t="s">
        <v>22</v>
      </c>
      <c r="K34" s="12" t="str">
        <f t="shared" si="0"/>
        <v>Vikram Mehta</v>
      </c>
      <c r="L34" s="12" t="str">
        <f t="shared" si="1"/>
        <v>013</v>
      </c>
      <c r="M34" s="12">
        <f t="shared" si="2"/>
        <v>13200</v>
      </c>
      <c r="N34" s="12">
        <f t="shared" si="3"/>
        <v>1320</v>
      </c>
      <c r="O34" s="12">
        <f t="shared" si="4"/>
        <v>11880</v>
      </c>
      <c r="P34" s="12" t="str">
        <f t="shared" si="6"/>
        <v>BIG</v>
      </c>
      <c r="Q34" s="12" t="str">
        <f t="shared" si="5"/>
        <v>March</v>
      </c>
      <c r="R34" s="14" t="str">
        <f t="shared" si="7"/>
        <v>Sunday</v>
      </c>
    </row>
    <row r="35" spans="1:18" x14ac:dyDescent="0.35">
      <c r="A35" s="8" t="s">
        <v>76</v>
      </c>
      <c r="B35" s="9">
        <v>46144</v>
      </c>
      <c r="C35" s="8" t="s">
        <v>18</v>
      </c>
      <c r="D35" s="8" t="s">
        <v>19</v>
      </c>
      <c r="E35" s="8" t="s">
        <v>20</v>
      </c>
      <c r="F35" s="8" t="s">
        <v>21</v>
      </c>
      <c r="G35" s="8">
        <v>5</v>
      </c>
      <c r="H35" s="10">
        <v>2200</v>
      </c>
      <c r="I35" s="11">
        <v>0.1</v>
      </c>
      <c r="J35" s="8" t="s">
        <v>26</v>
      </c>
      <c r="K35" s="12" t="str">
        <f t="shared" si="0"/>
        <v>Vikram Mehta</v>
      </c>
      <c r="L35" s="12" t="str">
        <f t="shared" si="1"/>
        <v>029</v>
      </c>
      <c r="M35" s="12">
        <f t="shared" si="2"/>
        <v>11000</v>
      </c>
      <c r="N35" s="12">
        <f t="shared" si="3"/>
        <v>1100</v>
      </c>
      <c r="O35" s="12">
        <f t="shared" si="4"/>
        <v>9900</v>
      </c>
      <c r="P35" s="12" t="str">
        <f t="shared" si="6"/>
        <v>Medium</v>
      </c>
      <c r="Q35" s="12" t="str">
        <f t="shared" si="5"/>
        <v>May</v>
      </c>
      <c r="R35" s="14" t="str">
        <f t="shared" si="7"/>
        <v>Saturday</v>
      </c>
    </row>
    <row r="36" spans="1:18" x14ac:dyDescent="0.35">
      <c r="A36" s="8" t="s">
        <v>91</v>
      </c>
      <c r="B36" s="9">
        <v>46133</v>
      </c>
      <c r="C36" s="8" t="s">
        <v>64</v>
      </c>
      <c r="D36" s="8" t="s">
        <v>19</v>
      </c>
      <c r="E36" s="8" t="s">
        <v>20</v>
      </c>
      <c r="F36" s="8" t="s">
        <v>75</v>
      </c>
      <c r="G36" s="8">
        <v>6</v>
      </c>
      <c r="H36" s="10">
        <v>1500</v>
      </c>
      <c r="I36" s="11">
        <v>0.1</v>
      </c>
      <c r="J36" s="8" t="s">
        <v>38</v>
      </c>
      <c r="K36" s="12" t="str">
        <f t="shared" si="0"/>
        <v>Amit Kumar</v>
      </c>
      <c r="L36" s="12" t="str">
        <f t="shared" si="1"/>
        <v>030</v>
      </c>
      <c r="M36" s="12">
        <f t="shared" si="2"/>
        <v>9000</v>
      </c>
      <c r="N36" s="12">
        <f t="shared" si="3"/>
        <v>900</v>
      </c>
      <c r="O36" s="12">
        <f t="shared" si="4"/>
        <v>8100</v>
      </c>
      <c r="P36" s="12" t="str">
        <f t="shared" si="6"/>
        <v>Medium</v>
      </c>
      <c r="Q36" s="12" t="str">
        <f t="shared" si="5"/>
        <v>April</v>
      </c>
      <c r="R36" s="14" t="str">
        <f t="shared" si="7"/>
        <v>Tuesday</v>
      </c>
    </row>
    <row r="37" spans="1:18" x14ac:dyDescent="0.35">
      <c r="A37" s="8" t="s">
        <v>78</v>
      </c>
      <c r="B37" s="9">
        <v>46189</v>
      </c>
      <c r="C37" s="8" t="s">
        <v>79</v>
      </c>
      <c r="D37" s="8" t="s">
        <v>19</v>
      </c>
      <c r="E37" s="8" t="s">
        <v>30</v>
      </c>
      <c r="F37" s="8" t="s">
        <v>54</v>
      </c>
      <c r="G37" s="8">
        <v>26</v>
      </c>
      <c r="H37" s="10">
        <v>90</v>
      </c>
      <c r="I37" s="11">
        <v>0.1</v>
      </c>
      <c r="J37" s="8" t="s">
        <v>26</v>
      </c>
      <c r="K37" s="12" t="str">
        <f t="shared" si="0"/>
        <v>Amit Kumar</v>
      </c>
      <c r="L37" s="12" t="str">
        <f t="shared" si="1"/>
        <v>025</v>
      </c>
      <c r="M37" s="12">
        <f t="shared" si="2"/>
        <v>2340</v>
      </c>
      <c r="N37" s="12">
        <f t="shared" si="3"/>
        <v>234</v>
      </c>
      <c r="O37" s="12">
        <f t="shared" si="4"/>
        <v>2106</v>
      </c>
      <c r="P37" s="12" t="str">
        <f t="shared" si="6"/>
        <v>Small</v>
      </c>
      <c r="Q37" s="12" t="str">
        <f t="shared" si="5"/>
        <v>June</v>
      </c>
      <c r="R37" s="14" t="str">
        <f t="shared" si="7"/>
        <v>Tuesday</v>
      </c>
    </row>
    <row r="38" spans="1:18" x14ac:dyDescent="0.35">
      <c r="A38" s="8" t="s">
        <v>95</v>
      </c>
      <c r="B38" s="9">
        <v>46083</v>
      </c>
      <c r="C38" s="8" t="s">
        <v>96</v>
      </c>
      <c r="D38" s="8" t="s">
        <v>19</v>
      </c>
      <c r="E38" s="8" t="s">
        <v>30</v>
      </c>
      <c r="F38" s="8" t="s">
        <v>31</v>
      </c>
      <c r="G38" s="8">
        <v>21</v>
      </c>
      <c r="H38" s="10">
        <v>60</v>
      </c>
      <c r="I38" s="11">
        <v>0</v>
      </c>
      <c r="J38" s="8" t="s">
        <v>22</v>
      </c>
      <c r="K38" s="12" t="str">
        <f t="shared" si="0"/>
        <v>Neha Gupta</v>
      </c>
      <c r="L38" s="12" t="str">
        <f t="shared" si="1"/>
        <v>028</v>
      </c>
      <c r="M38" s="12">
        <f t="shared" si="2"/>
        <v>1260</v>
      </c>
      <c r="N38" s="12">
        <f t="shared" si="3"/>
        <v>0</v>
      </c>
      <c r="O38" s="12">
        <f t="shared" si="4"/>
        <v>1260</v>
      </c>
      <c r="P38" s="12" t="str">
        <f t="shared" si="6"/>
        <v>Small</v>
      </c>
      <c r="Q38" s="12" t="str">
        <f t="shared" si="5"/>
        <v>March</v>
      </c>
      <c r="R38" s="14" t="str">
        <f t="shared" si="7"/>
        <v>Monday</v>
      </c>
    </row>
    <row r="39" spans="1:18" x14ac:dyDescent="0.35">
      <c r="A39" s="8" t="s">
        <v>77</v>
      </c>
      <c r="B39" s="9">
        <v>46120</v>
      </c>
      <c r="C39" s="8" t="s">
        <v>24</v>
      </c>
      <c r="D39" s="8" t="s">
        <v>19</v>
      </c>
      <c r="E39" s="8" t="s">
        <v>30</v>
      </c>
      <c r="F39" s="8" t="s">
        <v>31</v>
      </c>
      <c r="G39" s="8">
        <v>17</v>
      </c>
      <c r="H39" s="10">
        <v>60</v>
      </c>
      <c r="I39" s="11">
        <v>0.05</v>
      </c>
      <c r="J39" s="8" t="s">
        <v>22</v>
      </c>
      <c r="K39" s="12" t="str">
        <f t="shared" si="0"/>
        <v>Arjun Reddy</v>
      </c>
      <c r="L39" s="12" t="str">
        <f t="shared" si="1"/>
        <v>017</v>
      </c>
      <c r="M39" s="12">
        <f t="shared" si="2"/>
        <v>1020</v>
      </c>
      <c r="N39" s="12">
        <f t="shared" si="3"/>
        <v>51</v>
      </c>
      <c r="O39" s="12">
        <f t="shared" si="4"/>
        <v>969</v>
      </c>
      <c r="P39" s="12" t="str">
        <f t="shared" si="6"/>
        <v>Small</v>
      </c>
      <c r="Q39" s="12" t="str">
        <f t="shared" si="5"/>
        <v>April</v>
      </c>
      <c r="R39" s="14" t="str">
        <f t="shared" si="7"/>
        <v>Wednesday</v>
      </c>
    </row>
    <row r="40" spans="1:18" x14ac:dyDescent="0.35">
      <c r="A40" s="8" t="s">
        <v>88</v>
      </c>
      <c r="B40" s="9">
        <v>46120</v>
      </c>
      <c r="C40" s="8" t="s">
        <v>89</v>
      </c>
      <c r="D40" s="8" t="s">
        <v>19</v>
      </c>
      <c r="E40" s="8" t="s">
        <v>20</v>
      </c>
      <c r="F40" s="8" t="s">
        <v>62</v>
      </c>
      <c r="G40" s="8">
        <v>1</v>
      </c>
      <c r="H40" s="10">
        <v>900</v>
      </c>
      <c r="I40" s="11">
        <v>0.05</v>
      </c>
      <c r="J40" s="8" t="s">
        <v>26</v>
      </c>
      <c r="K40" s="12" t="str">
        <f t="shared" si="0"/>
        <v>Neha Gupta</v>
      </c>
      <c r="L40" s="12" t="str">
        <f t="shared" si="1"/>
        <v>009</v>
      </c>
      <c r="M40" s="12">
        <f t="shared" si="2"/>
        <v>900</v>
      </c>
      <c r="N40" s="12">
        <f t="shared" si="3"/>
        <v>45</v>
      </c>
      <c r="O40" s="12">
        <f t="shared" si="4"/>
        <v>855</v>
      </c>
      <c r="P40" s="12" t="str">
        <f t="shared" si="6"/>
        <v>Small</v>
      </c>
      <c r="Q40" s="12" t="str">
        <f t="shared" si="5"/>
        <v>April</v>
      </c>
      <c r="R40" s="14" t="str">
        <f t="shared" si="7"/>
        <v>Wednesday</v>
      </c>
    </row>
    <row r="41" spans="1:18" x14ac:dyDescent="0.35">
      <c r="A41" s="8" t="s">
        <v>101</v>
      </c>
      <c r="B41" s="9">
        <v>46031</v>
      </c>
      <c r="C41" s="8" t="s">
        <v>102</v>
      </c>
      <c r="D41" s="8" t="s">
        <v>19</v>
      </c>
      <c r="E41" s="8" t="s">
        <v>30</v>
      </c>
      <c r="F41" s="8" t="s">
        <v>31</v>
      </c>
      <c r="G41" s="8">
        <v>12</v>
      </c>
      <c r="H41" s="10">
        <v>60</v>
      </c>
      <c r="I41" s="11">
        <v>0.05</v>
      </c>
      <c r="J41" s="8" t="s">
        <v>26</v>
      </c>
      <c r="K41" s="12" t="str">
        <f t="shared" si="0"/>
        <v>Amit Kumar</v>
      </c>
      <c r="L41" s="12" t="str">
        <f t="shared" si="1"/>
        <v>012</v>
      </c>
      <c r="M41" s="12">
        <f t="shared" si="2"/>
        <v>720</v>
      </c>
      <c r="N41" s="12">
        <f t="shared" si="3"/>
        <v>36</v>
      </c>
      <c r="O41" s="12">
        <f t="shared" si="4"/>
        <v>684</v>
      </c>
      <c r="P41" s="12" t="str">
        <f t="shared" si="6"/>
        <v>Small</v>
      </c>
      <c r="Q41" s="12" t="str">
        <f t="shared" si="5"/>
        <v>January</v>
      </c>
      <c r="R41" s="14" t="str">
        <f t="shared" si="7"/>
        <v>Friday</v>
      </c>
    </row>
  </sheetData>
  <sortState ref="A2:Q41">
    <sortCondition ref="D2:D41"/>
    <sortCondition descending="1" ref="O2:O41"/>
  </sortState>
  <pageMargins left="0.75" right="0.75" top="1" bottom="1" header="0.5" footer="0.5"/>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pivot table</vt:lpstr>
      <vt:lpstr>dashbord</vt:lpstr>
      <vt:lpstr>Sheet1</vt:lpstr>
      <vt:lpstr>Sales 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hp</cp:lastModifiedBy>
  <dcterms:created xsi:type="dcterms:W3CDTF">2026-09-21T05:13:12Z</dcterms:created>
  <dcterms:modified xsi:type="dcterms:W3CDTF">2026-10-14T09:43:59Z</dcterms:modified>
</cp:coreProperties>
</file>